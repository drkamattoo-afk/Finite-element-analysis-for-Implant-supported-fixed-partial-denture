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0 RESEARCH PAPERS\1 WITH PUBLISHERS\3 Current research\3 abeer\1 My FEA results\"/>
    </mc:Choice>
  </mc:AlternateContent>
  <xr:revisionPtr revIDLastSave="0" documentId="13_ncr:1_{A9A7657A-CC58-467C-B739-CC09A5377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N5" i="1"/>
  <c r="M5" i="1"/>
  <c r="L5" i="1"/>
  <c r="T43" i="1"/>
  <c r="S43" i="1"/>
  <c r="R43" i="1"/>
  <c r="Q43" i="1"/>
  <c r="P43" i="1"/>
  <c r="O43" i="1"/>
  <c r="N43" i="1"/>
  <c r="T42" i="1"/>
  <c r="S42" i="1"/>
  <c r="R42" i="1"/>
  <c r="Q42" i="1"/>
  <c r="P42" i="1"/>
  <c r="O42" i="1"/>
  <c r="N42" i="1"/>
  <c r="T41" i="1"/>
  <c r="S41" i="1"/>
  <c r="R41" i="1"/>
  <c r="Q41" i="1"/>
  <c r="P41" i="1"/>
  <c r="O41" i="1"/>
  <c r="N41" i="1"/>
  <c r="T40" i="1"/>
  <c r="S40" i="1"/>
  <c r="R40" i="1"/>
  <c r="Q40" i="1"/>
  <c r="P40" i="1"/>
  <c r="O40" i="1"/>
  <c r="N40" i="1"/>
  <c r="T54" i="1"/>
  <c r="S54" i="1"/>
  <c r="R54" i="1"/>
  <c r="Q54" i="1"/>
  <c r="P54" i="1"/>
  <c r="O54" i="1"/>
  <c r="N54" i="1"/>
  <c r="T53" i="1"/>
  <c r="S53" i="1"/>
  <c r="R53" i="1"/>
  <c r="Q53" i="1"/>
  <c r="P53" i="1"/>
  <c r="O53" i="1"/>
  <c r="N53" i="1"/>
  <c r="T52" i="1"/>
  <c r="S52" i="1"/>
  <c r="R52" i="1"/>
  <c r="Q52" i="1"/>
  <c r="O52" i="1"/>
  <c r="N52" i="1"/>
  <c r="T51" i="1"/>
  <c r="S51" i="1"/>
  <c r="R51" i="1"/>
  <c r="Q51" i="1"/>
  <c r="P51" i="1"/>
  <c r="O51" i="1"/>
  <c r="N51" i="1"/>
  <c r="T65" i="1"/>
  <c r="S65" i="1"/>
  <c r="R65" i="1"/>
  <c r="Q65" i="1"/>
  <c r="P65" i="1"/>
  <c r="O65" i="1"/>
  <c r="N65" i="1"/>
  <c r="T64" i="1"/>
  <c r="S64" i="1"/>
  <c r="R64" i="1"/>
  <c r="Q64" i="1"/>
  <c r="P64" i="1"/>
  <c r="O64" i="1"/>
  <c r="N64" i="1"/>
  <c r="T63" i="1"/>
  <c r="S63" i="1"/>
  <c r="R63" i="1"/>
  <c r="Q63" i="1"/>
  <c r="P63" i="1"/>
  <c r="O63" i="1"/>
  <c r="N63" i="1"/>
  <c r="T62" i="1"/>
  <c r="S62" i="1"/>
  <c r="R62" i="1"/>
  <c r="Q62" i="1"/>
  <c r="P62" i="1"/>
  <c r="O62" i="1"/>
  <c r="N62" i="1"/>
  <c r="T76" i="1"/>
  <c r="S76" i="1"/>
  <c r="R76" i="1"/>
  <c r="Q76" i="1"/>
  <c r="P76" i="1"/>
  <c r="O76" i="1"/>
  <c r="N76" i="1"/>
  <c r="T75" i="1"/>
  <c r="S75" i="1"/>
  <c r="R75" i="1"/>
  <c r="Q75" i="1"/>
  <c r="P75" i="1"/>
  <c r="O75" i="1"/>
  <c r="N75" i="1"/>
  <c r="T74" i="1"/>
  <c r="S74" i="1"/>
  <c r="R74" i="1"/>
  <c r="Q74" i="1"/>
  <c r="P74" i="1"/>
  <c r="O74" i="1"/>
  <c r="N74" i="1"/>
  <c r="T73" i="1"/>
  <c r="S73" i="1"/>
  <c r="R73" i="1"/>
  <c r="Q73" i="1"/>
  <c r="P73" i="1"/>
  <c r="O73" i="1"/>
  <c r="N73" i="1"/>
  <c r="T87" i="1"/>
  <c r="S87" i="1"/>
  <c r="R87" i="1"/>
  <c r="Q87" i="1"/>
  <c r="P87" i="1"/>
  <c r="O87" i="1"/>
  <c r="N87" i="1"/>
  <c r="T86" i="1"/>
  <c r="S86" i="1"/>
  <c r="R86" i="1"/>
  <c r="Q86" i="1"/>
  <c r="P86" i="1"/>
  <c r="O86" i="1"/>
  <c r="N86" i="1"/>
  <c r="T85" i="1"/>
  <c r="S85" i="1"/>
  <c r="R85" i="1"/>
  <c r="Q85" i="1"/>
  <c r="P85" i="1"/>
  <c r="O85" i="1"/>
  <c r="N85" i="1"/>
  <c r="T84" i="1"/>
  <c r="S84" i="1"/>
  <c r="R84" i="1"/>
  <c r="Q84" i="1"/>
  <c r="P84" i="1"/>
  <c r="O84" i="1"/>
  <c r="N84" i="1"/>
  <c r="M87" i="1"/>
  <c r="M86" i="1"/>
  <c r="M85" i="1"/>
  <c r="M84" i="1"/>
  <c r="M76" i="1"/>
  <c r="M75" i="1"/>
  <c r="M74" i="1"/>
  <c r="M73" i="1"/>
  <c r="M65" i="1"/>
  <c r="M64" i="1"/>
  <c r="M63" i="1"/>
  <c r="M62" i="1"/>
  <c r="M54" i="1"/>
  <c r="M53" i="1"/>
  <c r="M52" i="1"/>
  <c r="M51" i="1"/>
  <c r="M43" i="1"/>
  <c r="M42" i="1"/>
  <c r="M41" i="1"/>
  <c r="M40" i="1"/>
  <c r="D19" i="1"/>
  <c r="C19" i="1"/>
  <c r="D18" i="1"/>
  <c r="C18" i="1"/>
  <c r="T32" i="1"/>
  <c r="S32" i="1"/>
  <c r="R32" i="1"/>
  <c r="Q32" i="1"/>
  <c r="P32" i="1"/>
  <c r="O32" i="1"/>
  <c r="N32" i="1"/>
  <c r="T31" i="1"/>
  <c r="S31" i="1"/>
  <c r="R31" i="1"/>
  <c r="Q31" i="1"/>
  <c r="P31" i="1"/>
  <c r="O31" i="1"/>
  <c r="N31" i="1"/>
  <c r="T30" i="1"/>
  <c r="S30" i="1"/>
  <c r="R30" i="1"/>
  <c r="Q30" i="1"/>
  <c r="P30" i="1"/>
  <c r="O30" i="1"/>
  <c r="N30" i="1"/>
  <c r="T29" i="1"/>
  <c r="S29" i="1"/>
  <c r="R29" i="1"/>
  <c r="Q29" i="1"/>
  <c r="P29" i="1"/>
  <c r="O29" i="1"/>
  <c r="N29" i="1"/>
  <c r="M32" i="1"/>
  <c r="M31" i="1"/>
  <c r="M30" i="1"/>
  <c r="M29" i="1"/>
  <c r="L32" i="1"/>
  <c r="L43" i="1" s="1"/>
  <c r="L54" i="1" s="1"/>
  <c r="L65" i="1" s="1"/>
  <c r="L76" i="1" s="1"/>
  <c r="L87" i="1" s="1"/>
  <c r="L31" i="1"/>
  <c r="L42" i="1" s="1"/>
  <c r="L53" i="1" s="1"/>
  <c r="L64" i="1" s="1"/>
  <c r="L75" i="1" s="1"/>
  <c r="L86" i="1" s="1"/>
  <c r="L30" i="1"/>
  <c r="L41" i="1" s="1"/>
  <c r="L52" i="1" s="1"/>
  <c r="L63" i="1" s="1"/>
  <c r="L74" i="1" s="1"/>
  <c r="L85" i="1" s="1"/>
  <c r="L29" i="1"/>
  <c r="L40" i="1" s="1"/>
  <c r="L51" i="1" s="1"/>
  <c r="L62" i="1" s="1"/>
  <c r="L73" i="1" s="1"/>
  <c r="L84" i="1" s="1"/>
</calcChain>
</file>

<file path=xl/sharedStrings.xml><?xml version="1.0" encoding="utf-8"?>
<sst xmlns="http://schemas.openxmlformats.org/spreadsheetml/2006/main" count="190" uniqueCount="50">
  <si>
    <t>Material</t>
  </si>
  <si>
    <t>Young's modules [MPa]</t>
  </si>
  <si>
    <t>Posison's ratio</t>
  </si>
  <si>
    <t>Zirconia FPD</t>
  </si>
  <si>
    <r>
      <t>PEKK FPD</t>
    </r>
    <r>
      <rPr>
        <b/>
        <sz val="6"/>
        <color theme="1"/>
        <rFont val="Times New Roman"/>
        <family val="1"/>
      </rPr>
      <t xml:space="preserve">  </t>
    </r>
  </si>
  <si>
    <t>Resin cement</t>
  </si>
  <si>
    <t>Implant abutment complex: Ti</t>
  </si>
  <si>
    <t>Mucosa</t>
  </si>
  <si>
    <t>Cortical bone</t>
  </si>
  <si>
    <t>Cancellous bone</t>
  </si>
  <si>
    <t>Volume</t>
  </si>
  <si>
    <t>Number of Nodes</t>
  </si>
  <si>
    <t>Number of Elements</t>
  </si>
  <si>
    <t>Partial denture</t>
  </si>
  <si>
    <t>Cement layers</t>
  </si>
  <si>
    <t>2 x Implant complex</t>
  </si>
  <si>
    <t>Finite Element Study on:</t>
  </si>
  <si>
    <t>implant supported 3-unit partial denture material</t>
  </si>
  <si>
    <t>Ux</t>
  </si>
  <si>
    <t>Uy</t>
  </si>
  <si>
    <t>Uz</t>
  </si>
  <si>
    <t>Ut</t>
  </si>
  <si>
    <t>Svon</t>
  </si>
  <si>
    <t>S shear</t>
  </si>
  <si>
    <t>Smax Principal</t>
  </si>
  <si>
    <t>Smin Principal</t>
  </si>
  <si>
    <t>MPa</t>
  </si>
  <si>
    <t>mm</t>
  </si>
  <si>
    <t>Zr + Vert</t>
  </si>
  <si>
    <t xml:space="preserve">R1: </t>
  </si>
  <si>
    <t>PEKK + Vert</t>
  </si>
  <si>
    <t xml:space="preserve">R2: </t>
  </si>
  <si>
    <t>Zr + Oblique</t>
  </si>
  <si>
    <t xml:space="preserve">R3: </t>
  </si>
  <si>
    <t>PEKK + Oblique</t>
  </si>
  <si>
    <t xml:space="preserve">R4: </t>
  </si>
  <si>
    <t>Items</t>
  </si>
  <si>
    <t>PEKK</t>
  </si>
  <si>
    <t>(n=7)</t>
  </si>
  <si>
    <t xml:space="preserve">Zirconia </t>
  </si>
  <si>
    <t xml:space="preserve">Test of significance </t>
  </si>
  <si>
    <r>
      <t>Maximum load</t>
    </r>
    <r>
      <rPr>
        <b/>
        <i/>
        <sz val="12"/>
        <color rgb="FF000000"/>
        <rFont val="Times New Roman"/>
        <family val="1"/>
      </rPr>
      <t xml:space="preserve">    </t>
    </r>
  </si>
  <si>
    <t xml:space="preserve"> (Mean ± SD)</t>
  </si>
  <si>
    <t>2184.86 ± 137.1</t>
  </si>
  <si>
    <t xml:space="preserve">1694.71 ± 115.3 </t>
  </si>
  <si>
    <t>t= 7.24</t>
  </si>
  <si>
    <r>
      <t xml:space="preserve">P </t>
    </r>
    <r>
      <rPr>
        <b/>
        <sz val="12"/>
        <color rgb="FF000000"/>
        <rFont val="Times New Roman"/>
        <family val="1"/>
      </rPr>
      <t>≤ 0.001*</t>
    </r>
  </si>
  <si>
    <t>(min – max)</t>
  </si>
  <si>
    <t>(1956 – 2334)</t>
  </si>
  <si>
    <t>(1550 – 1887)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</si>
</sst>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6"/>
      <color theme="1"/>
      <name val="Times New Roman"/>
      <family val="1"/>
    </font>
    <font>
      <b/>
      <sz val="10"/>
      <color rgb="FFF79646"/>
      <name val="Times New Roman"/>
      <family val="1"/>
    </font>
    <font>
      <b/>
      <sz val="16"/>
      <color theme="1"/>
      <name val="Times New Roman"/>
      <family val="1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E2D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1" xfId="0" applyFont="1" applyBorder="1" applyAlignment="1">
      <alignment horizontal="justify" vertical="top" wrapText="1" readingOrder="1"/>
    </xf>
    <xf numFmtId="0" fontId="3" fillId="0" borderId="2" xfId="0" applyFont="1" applyBorder="1" applyAlignment="1">
      <alignment horizontal="justify" vertical="top" wrapText="1" readingOrder="1"/>
    </xf>
    <xf numFmtId="0" fontId="3" fillId="0" borderId="3" xfId="0" applyFont="1" applyBorder="1" applyAlignment="1">
      <alignment horizontal="justify" vertical="top" wrapText="1" readingOrder="1"/>
    </xf>
    <xf numFmtId="0" fontId="3" fillId="2" borderId="1" xfId="0" applyFont="1" applyFill="1" applyBorder="1" applyAlignment="1">
      <alignment horizontal="justify" vertical="top" wrapText="1" readingOrder="1"/>
    </xf>
    <xf numFmtId="0" fontId="3" fillId="2" borderId="2" xfId="0" applyFont="1" applyFill="1" applyBorder="1" applyAlignment="1">
      <alignment horizontal="justify" vertical="top" wrapText="1" readingOrder="1"/>
    </xf>
    <xf numFmtId="0" fontId="6" fillId="0" borderId="0" xfId="0" applyFont="1" applyAlignment="1">
      <alignment horizontal="left" readingOrder="1"/>
    </xf>
    <xf numFmtId="0" fontId="6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3" fontId="5" fillId="0" borderId="4" xfId="0" applyNumberFormat="1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justify" vertical="top" wrapText="1" readingOrder="1"/>
    </xf>
    <xf numFmtId="0" fontId="3" fillId="0" borderId="7" xfId="0" applyFont="1" applyBorder="1" applyAlignment="1">
      <alignment horizontal="justify" vertical="top" wrapText="1" readingOrder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9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165" fontId="0" fillId="0" borderId="23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0" fontId="3" fillId="4" borderId="25" xfId="0" applyFont="1" applyFill="1" applyBorder="1" applyAlignment="1">
      <alignment horizontal="justify" vertical="top" wrapText="1" readingOrder="1"/>
    </xf>
    <xf numFmtId="166" fontId="3" fillId="0" borderId="4" xfId="1" applyNumberFormat="1" applyFont="1" applyBorder="1" applyAlignment="1">
      <alignment horizontal="center" vertical="center" wrapText="1" readingOrder="1"/>
    </xf>
    <xf numFmtId="165" fontId="0" fillId="0" borderId="13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165" fontId="8" fillId="0" borderId="14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0" fontId="11" fillId="6" borderId="30" xfId="0" applyFont="1" applyFill="1" applyBorder="1" applyAlignment="1">
      <alignment horizontal="justify" vertical="center" wrapText="1" readingOrder="1"/>
    </xf>
    <xf numFmtId="0" fontId="11" fillId="6" borderId="31" xfId="0" applyFont="1" applyFill="1" applyBorder="1" applyAlignment="1">
      <alignment horizontal="justify" vertical="center" wrapText="1" readingOrder="1"/>
    </xf>
    <xf numFmtId="0" fontId="11" fillId="5" borderId="33" xfId="0" applyFont="1" applyFill="1" applyBorder="1" applyAlignment="1">
      <alignment horizontal="justify" vertical="center" wrapText="1" readingOrder="1"/>
    </xf>
    <xf numFmtId="0" fontId="12" fillId="5" borderId="33" xfId="0" applyFont="1" applyFill="1" applyBorder="1" applyAlignment="1">
      <alignment horizontal="justify" vertical="center" wrapText="1" readingOrder="1"/>
    </xf>
    <xf numFmtId="0" fontId="11" fillId="5" borderId="32" xfId="0" applyFont="1" applyFill="1" applyBorder="1" applyAlignment="1">
      <alignment horizontal="justify" vertical="center" wrapText="1" readingOrder="1"/>
    </xf>
    <xf numFmtId="0" fontId="13" fillId="5" borderId="35" xfId="0" applyFont="1" applyFill="1" applyBorder="1" applyAlignment="1">
      <alignment horizontal="justify" vertical="center" wrapText="1" readingOrder="1"/>
    </xf>
    <xf numFmtId="0" fontId="13" fillId="5" borderId="34" xfId="0" applyFont="1" applyFill="1" applyBorder="1" applyAlignment="1">
      <alignment horizontal="justify" vertical="center" wrapText="1" readingOrder="1"/>
    </xf>
    <xf numFmtId="0" fontId="0" fillId="5" borderId="34" xfId="0" applyFill="1" applyBorder="1" applyAlignment="1">
      <alignment vertical="top" wrapText="1"/>
    </xf>
    <xf numFmtId="0" fontId="12" fillId="5" borderId="32" xfId="0" applyFont="1" applyFill="1" applyBorder="1" applyAlignment="1">
      <alignment horizontal="justify" vertical="center" wrapText="1" readingOrder="1"/>
    </xf>
    <xf numFmtId="2" fontId="0" fillId="0" borderId="0" xfId="0" applyNumberFormat="1"/>
    <xf numFmtId="165" fontId="0" fillId="0" borderId="0" xfId="0" applyNumberFormat="1"/>
    <xf numFmtId="0" fontId="0" fillId="4" borderId="0" xfId="0" applyFill="1"/>
    <xf numFmtId="165" fontId="0" fillId="4" borderId="0" xfId="0" applyNumberFormat="1" applyFill="1"/>
    <xf numFmtId="0" fontId="2" fillId="4" borderId="20" xfId="0" applyFont="1" applyFill="1" applyBorder="1" applyAlignment="1">
      <alignment horizontal="center" vertical="center"/>
    </xf>
    <xf numFmtId="165" fontId="0" fillId="4" borderId="23" xfId="0" applyNumberFormat="1" applyFill="1" applyBorder="1" applyAlignment="1">
      <alignment horizontal="center"/>
    </xf>
    <xf numFmtId="165" fontId="0" fillId="4" borderId="24" xfId="0" applyNumberFormat="1" applyFill="1" applyBorder="1" applyAlignment="1">
      <alignment horizontal="center"/>
    </xf>
    <xf numFmtId="0" fontId="11" fillId="6" borderId="28" xfId="0" applyFont="1" applyFill="1" applyBorder="1" applyAlignment="1">
      <alignment horizontal="justify" vertical="center" wrapText="1" readingOrder="1"/>
    </xf>
    <xf numFmtId="0" fontId="11" fillId="6" borderId="29" xfId="0" applyFont="1" applyFill="1" applyBorder="1" applyAlignment="1">
      <alignment horizontal="justify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Partial Denture Deformations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Sheet1!$L$29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Sheet1!$M$28:$P$28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Sheet1!$M$29:$P$29</c:f>
              <c:numCache>
                <c:formatCode>0.0000</c:formatCode>
                <c:ptCount val="4"/>
                <c:pt idx="0">
                  <c:v>1.9360000000000001E-5</c:v>
                </c:pt>
                <c:pt idx="1">
                  <c:v>6.7495999999999997E-3</c:v>
                </c:pt>
                <c:pt idx="2">
                  <c:v>3.1227E-3</c:v>
                </c:pt>
                <c:pt idx="3">
                  <c:v>3.1351E-3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D-453C-A9F7-169D19629EDB}"/>
            </c:ext>
          </c:extLst>
        </c:ser>
        <c:ser>
          <c:idx val="1"/>
          <c:order val="1"/>
          <c:tx>
            <c:strRef>
              <c:f>Sheet1!$L$30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Sheet1!$M$28:$P$28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Sheet1!$M$30:$P$30</c:f>
              <c:numCache>
                <c:formatCode>0.0000</c:formatCode>
                <c:ptCount val="4"/>
                <c:pt idx="0">
                  <c:v>2.8846000000000002E-3</c:v>
                </c:pt>
                <c:pt idx="1">
                  <c:v>4.2240000000000003E-3</c:v>
                </c:pt>
                <c:pt idx="2">
                  <c:v>2.2245000000000001E-2</c:v>
                </c:pt>
                <c:pt idx="3">
                  <c:v>2.2256000000000001E-2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D-453C-A9F7-169D19629EDB}"/>
            </c:ext>
          </c:extLst>
        </c:ser>
        <c:ser>
          <c:idx val="2"/>
          <c:order val="2"/>
          <c:tx>
            <c:strRef>
              <c:f>Sheet1!$L$31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Sheet1!$M$28:$P$28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Sheet1!$M$31:$P$31</c:f>
              <c:numCache>
                <c:formatCode>0.0000</c:formatCode>
                <c:ptCount val="4"/>
                <c:pt idx="0">
                  <c:v>2.2735999999999999E-2</c:v>
                </c:pt>
                <c:pt idx="1">
                  <c:v>8.3571999999999997E-4</c:v>
                </c:pt>
                <c:pt idx="2">
                  <c:v>1.0255999999999999E-2</c:v>
                </c:pt>
                <c:pt idx="3">
                  <c:v>2.3550999999999999E-2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7D-453C-A9F7-169D19629EDB}"/>
            </c:ext>
          </c:extLst>
        </c:ser>
        <c:ser>
          <c:idx val="3"/>
          <c:order val="3"/>
          <c:tx>
            <c:strRef>
              <c:f>Sheet1!$L$32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Sheet1!$M$28:$P$28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Sheet1!$M$32:$P$32</c:f>
              <c:numCache>
                <c:formatCode>0.0000</c:formatCode>
                <c:ptCount val="4"/>
                <c:pt idx="0">
                  <c:v>5.0196999999999999E-2</c:v>
                </c:pt>
                <c:pt idx="1">
                  <c:v>7.9331000000000002E-3</c:v>
                </c:pt>
                <c:pt idx="2">
                  <c:v>2.7234000000000001E-2</c:v>
                </c:pt>
                <c:pt idx="3">
                  <c:v>5.1154999999999999E-2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7D-453C-A9F7-169D19629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671552"/>
        <c:axId val="66114304"/>
      </c:barChart>
      <c:catAx>
        <c:axId val="91671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66114304"/>
        <c:crosses val="autoZero"/>
        <c:auto val="1"/>
        <c:lblAlgn val="ctr"/>
        <c:lblOffset val="100"/>
        <c:noMultiLvlLbl val="0"/>
      </c:catAx>
      <c:valAx>
        <c:axId val="66114304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167155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Partial Denture Stresses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Sheet1!$L$29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Sheet1!$Q$28:$T$28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Sheet1!$Q$29:$T$29</c:f>
              <c:numCache>
                <c:formatCode>0.00</c:formatCode>
                <c:ptCount val="4"/>
                <c:pt idx="0">
                  <c:v>208.64</c:v>
                </c:pt>
                <c:pt idx="1">
                  <c:v>115.76</c:v>
                </c:pt>
                <c:pt idx="2">
                  <c:v>105.16</c:v>
                </c:pt>
                <c:pt idx="3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F-49EF-A1FD-B50B2C33BD8D}"/>
            </c:ext>
          </c:extLst>
        </c:ser>
        <c:ser>
          <c:idx val="1"/>
          <c:order val="1"/>
          <c:tx>
            <c:strRef>
              <c:f>Sheet1!$L$30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Sheet1!$Q$28:$T$28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Sheet1!$Q$30:$T$30</c:f>
              <c:numCache>
                <c:formatCode>0.00</c:formatCode>
                <c:ptCount val="4"/>
                <c:pt idx="0">
                  <c:v>194.55</c:v>
                </c:pt>
                <c:pt idx="1">
                  <c:v>108.11</c:v>
                </c:pt>
                <c:pt idx="2">
                  <c:v>106.01</c:v>
                </c:pt>
                <c:pt idx="3">
                  <c:v>222.93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F-49EF-A1FD-B50B2C33BD8D}"/>
            </c:ext>
          </c:extLst>
        </c:ser>
        <c:ser>
          <c:idx val="2"/>
          <c:order val="2"/>
          <c:tx>
            <c:strRef>
              <c:f>Sheet1!$L$31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Sheet1!$Q$28:$T$28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Sheet1!$Q$31:$T$31</c:f>
              <c:numCache>
                <c:formatCode>0.00</c:formatCode>
                <c:ptCount val="4"/>
                <c:pt idx="0">
                  <c:v>223.2</c:v>
                </c:pt>
                <c:pt idx="1">
                  <c:v>128.86000000000001</c:v>
                </c:pt>
                <c:pt idx="2">
                  <c:v>172.94</c:v>
                </c:pt>
                <c:pt idx="3">
                  <c:v>124.49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F-49EF-A1FD-B50B2C33BD8D}"/>
            </c:ext>
          </c:extLst>
        </c:ser>
        <c:ser>
          <c:idx val="3"/>
          <c:order val="3"/>
          <c:tx>
            <c:strRef>
              <c:f>Sheet1!$L$32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Sheet1!$Q$28:$T$28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Sheet1!$Q$32:$T$32</c:f>
              <c:numCache>
                <c:formatCode>0.00</c:formatCode>
                <c:ptCount val="4"/>
                <c:pt idx="0">
                  <c:v>210.75</c:v>
                </c:pt>
                <c:pt idx="1">
                  <c:v>121.66</c:v>
                </c:pt>
                <c:pt idx="2">
                  <c:v>131.28</c:v>
                </c:pt>
                <c:pt idx="3">
                  <c:v>133.69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CF-49EF-A1FD-B50B2C33B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133248"/>
        <c:axId val="94167808"/>
      </c:barChart>
      <c:catAx>
        <c:axId val="94133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4167808"/>
        <c:crosses val="autoZero"/>
        <c:auto val="1"/>
        <c:lblAlgn val="ctr"/>
        <c:lblOffset val="100"/>
        <c:noMultiLvlLbl val="0"/>
      </c:catAx>
      <c:valAx>
        <c:axId val="94167808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41332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Cement Deformations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Sheet1!$L$40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Sheet1!$M$39:$P$39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Sheet1!$M$40:$P$40</c:f>
              <c:numCache>
                <c:formatCode>0.0000</c:formatCode>
                <c:ptCount val="4"/>
                <c:pt idx="0">
                  <c:v>1.0701E-5</c:v>
                </c:pt>
                <c:pt idx="1">
                  <c:v>4.3701999999999999E-4</c:v>
                </c:pt>
                <c:pt idx="2">
                  <c:v>2.6167999999999999E-3</c:v>
                </c:pt>
                <c:pt idx="3">
                  <c:v>2.627E-3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6-4C72-BBBD-65B466311586}"/>
            </c:ext>
          </c:extLst>
        </c:ser>
        <c:ser>
          <c:idx val="1"/>
          <c:order val="1"/>
          <c:tx>
            <c:strRef>
              <c:f>Sheet1!$L$41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Sheet1!$M$39:$P$39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Sheet1!$M$41:$P$41</c:f>
              <c:numCache>
                <c:formatCode>0.0000</c:formatCode>
                <c:ptCount val="4"/>
                <c:pt idx="0">
                  <c:v>5.719E-5</c:v>
                </c:pt>
                <c:pt idx="1">
                  <c:v>1.0092E-3</c:v>
                </c:pt>
                <c:pt idx="2">
                  <c:v>3.2864999999999999E-3</c:v>
                </c:pt>
                <c:pt idx="3">
                  <c:v>3.2991000000000001E-3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E6-4C72-BBBD-65B466311586}"/>
            </c:ext>
          </c:extLst>
        </c:ser>
        <c:ser>
          <c:idx val="2"/>
          <c:order val="2"/>
          <c:tx>
            <c:strRef>
              <c:f>Sheet1!$L$42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Sheet1!$M$39:$P$39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Sheet1!$M$42:$P$42</c:f>
              <c:numCache>
                <c:formatCode>0.0000</c:formatCode>
                <c:ptCount val="4"/>
                <c:pt idx="0">
                  <c:v>1.5575E-2</c:v>
                </c:pt>
                <c:pt idx="1">
                  <c:v>4.2232000000000001E-4</c:v>
                </c:pt>
                <c:pt idx="2">
                  <c:v>5.2795999999999997E-3</c:v>
                </c:pt>
                <c:pt idx="3">
                  <c:v>1.6079E-2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E6-4C72-BBBD-65B466311586}"/>
            </c:ext>
          </c:extLst>
        </c:ser>
        <c:ser>
          <c:idx val="3"/>
          <c:order val="3"/>
          <c:tx>
            <c:strRef>
              <c:f>Sheet1!$L$43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Sheet1!$M$39:$P$39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Sheet1!$M$43:$P$43</c:f>
              <c:numCache>
                <c:formatCode>0.0000</c:formatCode>
                <c:ptCount val="4"/>
                <c:pt idx="0">
                  <c:v>1.9730999999999999E-2</c:v>
                </c:pt>
                <c:pt idx="1">
                  <c:v>2.0856999999999998E-3</c:v>
                </c:pt>
                <c:pt idx="2">
                  <c:v>5.6274000000000003E-3</c:v>
                </c:pt>
                <c:pt idx="3">
                  <c:v>2.0080000000000001E-2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E6-4C72-BBBD-65B466311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57056"/>
        <c:axId val="93813760"/>
      </c:barChart>
      <c:catAx>
        <c:axId val="70557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3813760"/>
        <c:crosses val="autoZero"/>
        <c:auto val="1"/>
        <c:lblAlgn val="ctr"/>
        <c:lblOffset val="100"/>
        <c:noMultiLvlLbl val="0"/>
      </c:catAx>
      <c:valAx>
        <c:axId val="93813760"/>
        <c:scaling>
          <c:orientation val="minMax"/>
        </c:scaling>
        <c:delete val="0"/>
        <c:axPos val="l"/>
        <c:majorGridlines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055705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Cement Stresses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Sheet1!$L$40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Sheet1!$Q$39:$T$39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Sheet1!$Q$40:$T$40</c:f>
              <c:numCache>
                <c:formatCode>0.00</c:formatCode>
                <c:ptCount val="4"/>
                <c:pt idx="0">
                  <c:v>5.0717999999999996</c:v>
                </c:pt>
                <c:pt idx="1">
                  <c:v>2.7766999999999999</c:v>
                </c:pt>
                <c:pt idx="2">
                  <c:v>7.0039999999999996</c:v>
                </c:pt>
                <c:pt idx="3">
                  <c:v>3.5169000000000001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7-438A-89BF-74C93BFE270B}"/>
            </c:ext>
          </c:extLst>
        </c:ser>
        <c:ser>
          <c:idx val="1"/>
          <c:order val="1"/>
          <c:tx>
            <c:strRef>
              <c:f>Sheet1!$L$41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Sheet1!$Q$39:$T$39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Sheet1!$Q$41:$T$41</c:f>
              <c:numCache>
                <c:formatCode>0.00</c:formatCode>
                <c:ptCount val="4"/>
                <c:pt idx="0">
                  <c:v>10.19</c:v>
                </c:pt>
                <c:pt idx="1">
                  <c:v>5.7801</c:v>
                </c:pt>
                <c:pt idx="2">
                  <c:v>5.1673</c:v>
                </c:pt>
                <c:pt idx="3">
                  <c:v>10.029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77-438A-89BF-74C93BFE270B}"/>
            </c:ext>
          </c:extLst>
        </c:ser>
        <c:ser>
          <c:idx val="2"/>
          <c:order val="2"/>
          <c:tx>
            <c:strRef>
              <c:f>Sheet1!$L$42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Sheet1!$Q$39:$T$39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Sheet1!$Q$42:$T$42</c:f>
              <c:numCache>
                <c:formatCode>0.00</c:formatCode>
                <c:ptCount val="4"/>
                <c:pt idx="0">
                  <c:v>19.292999999999999</c:v>
                </c:pt>
                <c:pt idx="1">
                  <c:v>10.512</c:v>
                </c:pt>
                <c:pt idx="2">
                  <c:v>25.542000000000002</c:v>
                </c:pt>
                <c:pt idx="3">
                  <c:v>12.279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77-438A-89BF-74C93BFE270B}"/>
            </c:ext>
          </c:extLst>
        </c:ser>
        <c:ser>
          <c:idx val="3"/>
          <c:order val="3"/>
          <c:tx>
            <c:strRef>
              <c:f>Sheet1!$L$43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Sheet1!$Q$39:$T$39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Sheet1!$Q$43:$T$43</c:f>
              <c:numCache>
                <c:formatCode>0.00</c:formatCode>
                <c:ptCount val="4"/>
                <c:pt idx="0">
                  <c:v>21.59</c:v>
                </c:pt>
                <c:pt idx="1">
                  <c:v>12.236000000000001</c:v>
                </c:pt>
                <c:pt idx="2">
                  <c:v>16.433</c:v>
                </c:pt>
                <c:pt idx="3">
                  <c:v>20.094000000000001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77-438A-89BF-74C93BFE2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535616"/>
        <c:axId val="93812992"/>
      </c:barChart>
      <c:catAx>
        <c:axId val="93535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3812992"/>
        <c:crosses val="autoZero"/>
        <c:auto val="1"/>
        <c:lblAlgn val="ctr"/>
        <c:lblOffset val="100"/>
        <c:noMultiLvlLbl val="0"/>
      </c:catAx>
      <c:valAx>
        <c:axId val="93812992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353561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Implants Deformations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Sheet1!$L$51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Sheet1!$M$50:$P$50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Sheet1!$M$51:$P$51</c:f>
              <c:numCache>
                <c:formatCode>0.0000</c:formatCode>
                <c:ptCount val="4"/>
                <c:pt idx="0">
                  <c:v>1.7799999999999999E-5</c:v>
                </c:pt>
                <c:pt idx="1">
                  <c:v>4.6642999999999999E-4</c:v>
                </c:pt>
                <c:pt idx="2">
                  <c:v>2.6145999999999999E-3</c:v>
                </c:pt>
                <c:pt idx="3">
                  <c:v>2.6259999999999999E-3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C-424A-B1FB-6EE80E0844E2}"/>
            </c:ext>
          </c:extLst>
        </c:ser>
        <c:ser>
          <c:idx val="1"/>
          <c:order val="1"/>
          <c:tx>
            <c:strRef>
              <c:f>Sheet1!$L$52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Sheet1!$M$50:$P$50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Sheet1!$M$52:$P$52</c:f>
              <c:numCache>
                <c:formatCode>0.0000</c:formatCode>
                <c:ptCount val="4"/>
                <c:pt idx="0">
                  <c:v>3.4039999999999999E-5</c:v>
                </c:pt>
                <c:pt idx="1">
                  <c:v>9.8838000000000007E-4</c:v>
                </c:pt>
                <c:pt idx="2">
                  <c:v>3.2450000000000001E-3</c:v>
                </c:pt>
                <c:pt idx="3">
                  <c:v>3.2000000000000002E-3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C-424A-B1FB-6EE80E0844E2}"/>
            </c:ext>
          </c:extLst>
        </c:ser>
        <c:ser>
          <c:idx val="2"/>
          <c:order val="2"/>
          <c:tx>
            <c:strRef>
              <c:f>Sheet1!$L$53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Sheet1!$M$50:$P$50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Sheet1!$M$53:$P$53</c:f>
              <c:numCache>
                <c:formatCode>0.0000</c:formatCode>
                <c:ptCount val="4"/>
                <c:pt idx="0">
                  <c:v>1.5528999999999999E-2</c:v>
                </c:pt>
                <c:pt idx="1">
                  <c:v>5.2094000000000001E-4</c:v>
                </c:pt>
                <c:pt idx="2">
                  <c:v>5.2808000000000004E-3</c:v>
                </c:pt>
                <c:pt idx="3">
                  <c:v>1.6048E-2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7C-424A-B1FB-6EE80E0844E2}"/>
            </c:ext>
          </c:extLst>
        </c:ser>
        <c:ser>
          <c:idx val="3"/>
          <c:order val="3"/>
          <c:tx>
            <c:strRef>
              <c:f>Sheet1!$L$54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Sheet1!$M$50:$P$50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Sheet1!$M$54:$P$54</c:f>
              <c:numCache>
                <c:formatCode>0.0000</c:formatCode>
                <c:ptCount val="4"/>
                <c:pt idx="0">
                  <c:v>1.9609000000000001E-2</c:v>
                </c:pt>
                <c:pt idx="1">
                  <c:v>2.0533999999999999E-3</c:v>
                </c:pt>
                <c:pt idx="2">
                  <c:v>5.4684E-3</c:v>
                </c:pt>
                <c:pt idx="3">
                  <c:v>1.9949000000000001E-2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7C-424A-B1FB-6EE80E084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482048"/>
        <c:axId val="76998144"/>
      </c:barChart>
      <c:catAx>
        <c:axId val="76482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6998144"/>
        <c:crosses val="autoZero"/>
        <c:auto val="1"/>
        <c:lblAlgn val="ctr"/>
        <c:lblOffset val="100"/>
        <c:noMultiLvlLbl val="0"/>
      </c:catAx>
      <c:valAx>
        <c:axId val="76998144"/>
        <c:scaling>
          <c:orientation val="minMax"/>
        </c:scaling>
        <c:delete val="0"/>
        <c:axPos val="l"/>
        <c:majorGridlines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64820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Implants Stresses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Sheet1!$L$51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Sheet1!$Q$50:$T$50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Sheet1!$Q$51:$T$51</c:f>
              <c:numCache>
                <c:formatCode>0.00</c:formatCode>
                <c:ptCount val="4"/>
                <c:pt idx="0">
                  <c:v>26.38</c:v>
                </c:pt>
                <c:pt idx="1">
                  <c:v>14.356999999999999</c:v>
                </c:pt>
                <c:pt idx="2">
                  <c:v>20.715</c:v>
                </c:pt>
                <c:pt idx="3">
                  <c:v>30.788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F-41AB-9969-7CA312831DF2}"/>
            </c:ext>
          </c:extLst>
        </c:ser>
        <c:ser>
          <c:idx val="1"/>
          <c:order val="1"/>
          <c:tx>
            <c:strRef>
              <c:f>Sheet1!$L$52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Sheet1!$Q$50:$T$50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Sheet1!$Q$52:$T$52</c:f>
              <c:numCache>
                <c:formatCode>0.00</c:formatCode>
                <c:ptCount val="4"/>
                <c:pt idx="0">
                  <c:v>43.774999999999999</c:v>
                </c:pt>
                <c:pt idx="1">
                  <c:v>23.608000000000001</c:v>
                </c:pt>
                <c:pt idx="2">
                  <c:v>29.544</c:v>
                </c:pt>
                <c:pt idx="3">
                  <c:v>52.594000000000001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F-41AB-9969-7CA312831DF2}"/>
            </c:ext>
          </c:extLst>
        </c:ser>
        <c:ser>
          <c:idx val="2"/>
          <c:order val="2"/>
          <c:tx>
            <c:strRef>
              <c:f>Sheet1!$L$53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Sheet1!$Q$50:$T$50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Sheet1!$Q$53:$T$53</c:f>
              <c:numCache>
                <c:formatCode>0.00</c:formatCode>
                <c:ptCount val="4"/>
                <c:pt idx="0">
                  <c:v>289.02</c:v>
                </c:pt>
                <c:pt idx="1">
                  <c:v>166.78</c:v>
                </c:pt>
                <c:pt idx="2">
                  <c:v>165.43</c:v>
                </c:pt>
                <c:pt idx="3">
                  <c:v>196.32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F-41AB-9969-7CA312831DF2}"/>
            </c:ext>
          </c:extLst>
        </c:ser>
        <c:ser>
          <c:idx val="3"/>
          <c:order val="3"/>
          <c:tx>
            <c:strRef>
              <c:f>Sheet1!$L$54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Sheet1!$Q$50:$T$50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Sheet1!$Q$54:$T$54</c:f>
              <c:numCache>
                <c:formatCode>0.00</c:formatCode>
                <c:ptCount val="4"/>
                <c:pt idx="0">
                  <c:v>162.16</c:v>
                </c:pt>
                <c:pt idx="1">
                  <c:v>90.200999999999993</c:v>
                </c:pt>
                <c:pt idx="2">
                  <c:v>153.66999999999999</c:v>
                </c:pt>
                <c:pt idx="3">
                  <c:v>224.57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EF-41AB-9969-7CA312831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71840"/>
        <c:axId val="94373376"/>
      </c:barChart>
      <c:catAx>
        <c:axId val="94371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4373376"/>
        <c:crosses val="autoZero"/>
        <c:auto val="1"/>
        <c:lblAlgn val="ctr"/>
        <c:lblOffset val="100"/>
        <c:noMultiLvlLbl val="0"/>
      </c:catAx>
      <c:valAx>
        <c:axId val="9437337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437184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Mucosa Deformations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Sheet1!$L$62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Sheet1!$M$61:$P$61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Sheet1!$M$62:$P$62</c:f>
              <c:numCache>
                <c:formatCode>0.0000</c:formatCode>
                <c:ptCount val="4"/>
                <c:pt idx="0">
                  <c:v>4.0123999999999997E-4</c:v>
                </c:pt>
                <c:pt idx="1">
                  <c:v>7.4425000000000001E-4</c:v>
                </c:pt>
                <c:pt idx="2">
                  <c:v>2.9607000000000001E-3</c:v>
                </c:pt>
                <c:pt idx="3">
                  <c:v>2.9640000000000001E-3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6-40AB-9B9A-638CEF662203}"/>
            </c:ext>
          </c:extLst>
        </c:ser>
        <c:ser>
          <c:idx val="1"/>
          <c:order val="1"/>
          <c:tx>
            <c:strRef>
              <c:f>Sheet1!$L$63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Sheet1!$M$61:$P$61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Sheet1!$M$63:$P$63</c:f>
              <c:numCache>
                <c:formatCode>0.0000</c:formatCode>
                <c:ptCount val="4"/>
                <c:pt idx="0">
                  <c:v>1.5269999999999999E-3</c:v>
                </c:pt>
                <c:pt idx="1">
                  <c:v>2.5071999999999998E-3</c:v>
                </c:pt>
                <c:pt idx="2">
                  <c:v>1.1986E-2</c:v>
                </c:pt>
                <c:pt idx="3">
                  <c:v>1.2083E-2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36-40AB-9B9A-638CEF662203}"/>
            </c:ext>
          </c:extLst>
        </c:ser>
        <c:ser>
          <c:idx val="2"/>
          <c:order val="2"/>
          <c:tx>
            <c:strRef>
              <c:f>Sheet1!$L$64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Sheet1!$M$61:$P$61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Sheet1!$M$64:$P$64</c:f>
              <c:numCache>
                <c:formatCode>0.0000</c:formatCode>
                <c:ptCount val="4"/>
                <c:pt idx="0">
                  <c:v>8.9531999999999997E-3</c:v>
                </c:pt>
                <c:pt idx="1">
                  <c:v>1.2404E-3</c:v>
                </c:pt>
                <c:pt idx="2">
                  <c:v>8.8892999999999993E-3</c:v>
                </c:pt>
                <c:pt idx="3">
                  <c:v>1.2578000000000001E-2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36-40AB-9B9A-638CEF662203}"/>
            </c:ext>
          </c:extLst>
        </c:ser>
        <c:ser>
          <c:idx val="3"/>
          <c:order val="3"/>
          <c:tx>
            <c:strRef>
              <c:f>Sheet1!$L$65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Sheet1!$M$61:$P$61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Sheet1!$M$65:$P$65</c:f>
              <c:numCache>
                <c:formatCode>0.0000</c:formatCode>
                <c:ptCount val="4"/>
                <c:pt idx="0">
                  <c:v>1.0893E-2</c:v>
                </c:pt>
                <c:pt idx="1">
                  <c:v>3.9744000000000003E-3</c:v>
                </c:pt>
                <c:pt idx="2">
                  <c:v>2.3889000000000001E-2</c:v>
                </c:pt>
                <c:pt idx="3">
                  <c:v>2.5856000000000001E-2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36-40AB-9B9A-638CEF662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274880"/>
        <c:axId val="133795840"/>
      </c:barChart>
      <c:catAx>
        <c:axId val="117274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3795840"/>
        <c:crosses val="autoZero"/>
        <c:auto val="1"/>
        <c:lblAlgn val="ctr"/>
        <c:lblOffset val="100"/>
        <c:noMultiLvlLbl val="0"/>
      </c:catAx>
      <c:valAx>
        <c:axId val="133795840"/>
        <c:scaling>
          <c:orientation val="minMax"/>
        </c:scaling>
        <c:delete val="0"/>
        <c:axPos val="l"/>
        <c:majorGridlines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72748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Mucosa Stresses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Sheet1!$L$62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Sheet1!$Q$61:$T$61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Sheet1!$Q$62:$T$62</c:f>
              <c:numCache>
                <c:formatCode>0.00</c:formatCode>
                <c:ptCount val="4"/>
                <c:pt idx="0">
                  <c:v>2.0164999999999999E-2</c:v>
                </c:pt>
                <c:pt idx="1">
                  <c:v>1.1128000000000001E-2</c:v>
                </c:pt>
                <c:pt idx="2">
                  <c:v>1.0118E-2</c:v>
                </c:pt>
                <c:pt idx="3">
                  <c:v>3.4228000000000001E-2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2-4B1C-9012-B4488DD73AD6}"/>
            </c:ext>
          </c:extLst>
        </c:ser>
        <c:ser>
          <c:idx val="1"/>
          <c:order val="1"/>
          <c:tx>
            <c:strRef>
              <c:f>Sheet1!$L$63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Sheet1!$Q$61:$T$61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Sheet1!$Q$63:$T$63</c:f>
              <c:numCache>
                <c:formatCode>0.00</c:formatCode>
                <c:ptCount val="4"/>
                <c:pt idx="0">
                  <c:v>0.10369</c:v>
                </c:pt>
                <c:pt idx="1">
                  <c:v>5.7235000000000001E-2</c:v>
                </c:pt>
                <c:pt idx="2">
                  <c:v>3.9327000000000001E-2</c:v>
                </c:pt>
                <c:pt idx="3">
                  <c:v>0.17885999999999999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2-4B1C-9012-B4488DD73AD6}"/>
            </c:ext>
          </c:extLst>
        </c:ser>
        <c:ser>
          <c:idx val="2"/>
          <c:order val="2"/>
          <c:tx>
            <c:strRef>
              <c:f>Sheet1!$L$64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Sheet1!$Q$61:$T$61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Sheet1!$Q$64:$T$64</c:f>
              <c:numCache>
                <c:formatCode>0.00</c:formatCode>
                <c:ptCount val="4"/>
                <c:pt idx="0">
                  <c:v>6.9690000000000002E-2</c:v>
                </c:pt>
                <c:pt idx="1">
                  <c:v>3.8523000000000002E-2</c:v>
                </c:pt>
                <c:pt idx="2">
                  <c:v>8.0643000000000006E-2</c:v>
                </c:pt>
                <c:pt idx="3">
                  <c:v>0.12010999999999999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62-4B1C-9012-B4488DD73AD6}"/>
            </c:ext>
          </c:extLst>
        </c:ser>
        <c:ser>
          <c:idx val="3"/>
          <c:order val="3"/>
          <c:tx>
            <c:strRef>
              <c:f>Sheet1!$L$65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Sheet1!$Q$61:$T$61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Sheet1!$Q$65:$T$65</c:f>
              <c:numCache>
                <c:formatCode>0.00</c:formatCode>
                <c:ptCount val="4"/>
                <c:pt idx="0">
                  <c:v>0.18956000000000001</c:v>
                </c:pt>
                <c:pt idx="1">
                  <c:v>0.10413</c:v>
                </c:pt>
                <c:pt idx="2">
                  <c:v>0.10058</c:v>
                </c:pt>
                <c:pt idx="3">
                  <c:v>0.36889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62-4B1C-9012-B4488DD73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958272"/>
        <c:axId val="131959808"/>
      </c:barChart>
      <c:catAx>
        <c:axId val="131958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1959808"/>
        <c:crosses val="autoZero"/>
        <c:auto val="1"/>
        <c:lblAlgn val="ctr"/>
        <c:lblOffset val="100"/>
        <c:noMultiLvlLbl val="0"/>
      </c:catAx>
      <c:valAx>
        <c:axId val="131959808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195827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Cortical Deformations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Sheet1!$L$73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Sheet1!$M$72:$P$72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Sheet1!$M$73:$P$73</c:f>
              <c:numCache>
                <c:formatCode>0.0000</c:formatCode>
                <c:ptCount val="4"/>
                <c:pt idx="0">
                  <c:v>2.7528999999999997E-4</c:v>
                </c:pt>
                <c:pt idx="1">
                  <c:v>5.8288000000000003E-4</c:v>
                </c:pt>
                <c:pt idx="2">
                  <c:v>2.4572999999999999E-3</c:v>
                </c:pt>
                <c:pt idx="3">
                  <c:v>2.4941999999999998E-3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A-4B6F-9A64-8587F5A54262}"/>
            </c:ext>
          </c:extLst>
        </c:ser>
        <c:ser>
          <c:idx val="1"/>
          <c:order val="1"/>
          <c:tx>
            <c:strRef>
              <c:f>Sheet1!$L$74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Sheet1!$M$72:$P$72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Sheet1!$M$74:$P$74</c:f>
              <c:numCache>
                <c:formatCode>0.0000</c:formatCode>
                <c:ptCount val="4"/>
                <c:pt idx="0">
                  <c:v>4.1856E-4</c:v>
                </c:pt>
                <c:pt idx="1">
                  <c:v>9.9222999999999998E-4</c:v>
                </c:pt>
                <c:pt idx="2">
                  <c:v>2.4477000000000001E-3</c:v>
                </c:pt>
                <c:pt idx="3">
                  <c:v>2.6131000000000001E-3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A-4B6F-9A64-8587F5A54262}"/>
            </c:ext>
          </c:extLst>
        </c:ser>
        <c:ser>
          <c:idx val="2"/>
          <c:order val="2"/>
          <c:tx>
            <c:strRef>
              <c:f>Sheet1!$L$75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Sheet1!$M$72:$P$72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Sheet1!$M$75:$P$75</c:f>
              <c:numCache>
                <c:formatCode>0.0000</c:formatCode>
                <c:ptCount val="4"/>
                <c:pt idx="0">
                  <c:v>6.8868000000000002E-3</c:v>
                </c:pt>
                <c:pt idx="1">
                  <c:v>8.6583999999999999E-4</c:v>
                </c:pt>
                <c:pt idx="2">
                  <c:v>3.9914E-3</c:v>
                </c:pt>
                <c:pt idx="3">
                  <c:v>7.9105000000000009E-3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9A-4B6F-9A64-8587F5A54262}"/>
            </c:ext>
          </c:extLst>
        </c:ser>
        <c:ser>
          <c:idx val="3"/>
          <c:order val="3"/>
          <c:tx>
            <c:strRef>
              <c:f>Sheet1!$L$76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Sheet1!$M$72:$P$72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Sheet1!$M$76:$P$76</c:f>
              <c:numCache>
                <c:formatCode>0.0000</c:formatCode>
                <c:ptCount val="4"/>
                <c:pt idx="0">
                  <c:v>7.7219000000000003E-3</c:v>
                </c:pt>
                <c:pt idx="1">
                  <c:v>1.4224000000000001E-3</c:v>
                </c:pt>
                <c:pt idx="2">
                  <c:v>4.1282999999999997E-3</c:v>
                </c:pt>
                <c:pt idx="3">
                  <c:v>8.4402999999999995E-3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9A-4B6F-9A64-8587F5A54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900800"/>
        <c:axId val="100846976"/>
      </c:barChart>
      <c:catAx>
        <c:axId val="99900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00846976"/>
        <c:crosses val="autoZero"/>
        <c:auto val="1"/>
        <c:lblAlgn val="ctr"/>
        <c:lblOffset val="100"/>
        <c:noMultiLvlLbl val="0"/>
      </c:catAx>
      <c:valAx>
        <c:axId val="100846976"/>
        <c:scaling>
          <c:orientation val="minMax"/>
        </c:scaling>
        <c:delete val="0"/>
        <c:axPos val="l"/>
        <c:majorGridlines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99008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Cortical Stresses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Sheet1!$L$73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Sheet1!$Q$72:$T$72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Sheet1!$Q$73:$T$73</c:f>
              <c:numCache>
                <c:formatCode>0.00</c:formatCode>
                <c:ptCount val="4"/>
                <c:pt idx="0">
                  <c:v>3.8628999999999998</c:v>
                </c:pt>
                <c:pt idx="1">
                  <c:v>2.1625000000000001</c:v>
                </c:pt>
                <c:pt idx="2">
                  <c:v>4.6482000000000001</c:v>
                </c:pt>
                <c:pt idx="3">
                  <c:v>5.4928999999999997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D-4B3A-9D53-927637D6363B}"/>
            </c:ext>
          </c:extLst>
        </c:ser>
        <c:ser>
          <c:idx val="1"/>
          <c:order val="1"/>
          <c:tx>
            <c:strRef>
              <c:f>Sheet1!$L$74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Sheet1!$Q$72:$T$72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Sheet1!$Q$74:$T$74</c:f>
              <c:numCache>
                <c:formatCode>0.00</c:formatCode>
                <c:ptCount val="4"/>
                <c:pt idx="0">
                  <c:v>4.9554</c:v>
                </c:pt>
                <c:pt idx="1">
                  <c:v>2.7082000000000002</c:v>
                </c:pt>
                <c:pt idx="2">
                  <c:v>5.5678000000000001</c:v>
                </c:pt>
                <c:pt idx="3">
                  <c:v>6.8113000000000001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D-4B3A-9D53-927637D6363B}"/>
            </c:ext>
          </c:extLst>
        </c:ser>
        <c:ser>
          <c:idx val="2"/>
          <c:order val="2"/>
          <c:tx>
            <c:strRef>
              <c:f>Sheet1!$L$75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Sheet1!$Q$72:$T$72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Sheet1!$Q$75:$T$75</c:f>
              <c:numCache>
                <c:formatCode>0.00</c:formatCode>
                <c:ptCount val="4"/>
                <c:pt idx="0">
                  <c:v>14.26</c:v>
                </c:pt>
                <c:pt idx="1">
                  <c:v>7.6144999999999996</c:v>
                </c:pt>
                <c:pt idx="2">
                  <c:v>19.388999999999999</c:v>
                </c:pt>
                <c:pt idx="3">
                  <c:v>20.942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ED-4B3A-9D53-927637D6363B}"/>
            </c:ext>
          </c:extLst>
        </c:ser>
        <c:ser>
          <c:idx val="3"/>
          <c:order val="3"/>
          <c:tx>
            <c:strRef>
              <c:f>Sheet1!$L$76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Sheet1!$Q$72:$T$72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Sheet1!$Q$76:$T$76</c:f>
              <c:numCache>
                <c:formatCode>0.00</c:formatCode>
                <c:ptCount val="4"/>
                <c:pt idx="0">
                  <c:v>18.222999999999999</c:v>
                </c:pt>
                <c:pt idx="1">
                  <c:v>9.5988000000000007</c:v>
                </c:pt>
                <c:pt idx="2">
                  <c:v>22.684000000000001</c:v>
                </c:pt>
                <c:pt idx="3">
                  <c:v>22.831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ED-4B3A-9D53-927637D6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174016"/>
        <c:axId val="133175552"/>
      </c:barChart>
      <c:catAx>
        <c:axId val="133174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3175552"/>
        <c:crosses val="autoZero"/>
        <c:auto val="1"/>
        <c:lblAlgn val="ctr"/>
        <c:lblOffset val="100"/>
        <c:noMultiLvlLbl val="0"/>
      </c:catAx>
      <c:valAx>
        <c:axId val="133175552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317401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Cancellous Deformations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Sheet1!$L$84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Sheet1!$M$83:$P$83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Sheet1!$M$84:$P$84</c:f>
              <c:numCache>
                <c:formatCode>0.0000</c:formatCode>
                <c:ptCount val="4"/>
                <c:pt idx="0">
                  <c:v>2.5340999999999997E-4</c:v>
                </c:pt>
                <c:pt idx="1">
                  <c:v>5.7339999999999995E-4</c:v>
                </c:pt>
                <c:pt idx="2">
                  <c:v>2.3896999999999998E-3</c:v>
                </c:pt>
                <c:pt idx="3">
                  <c:v>2.4234999999999999E-3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4-4E3F-AA7C-4B3F90FB1FA0}"/>
            </c:ext>
          </c:extLst>
        </c:ser>
        <c:ser>
          <c:idx val="1"/>
          <c:order val="1"/>
          <c:tx>
            <c:strRef>
              <c:f>Sheet1!$L$85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Sheet1!$M$83:$P$83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Sheet1!$M$85:$P$85</c:f>
              <c:numCache>
                <c:formatCode>0.0000</c:formatCode>
                <c:ptCount val="4"/>
                <c:pt idx="0">
                  <c:v>3.4844999999999999E-4</c:v>
                </c:pt>
                <c:pt idx="1">
                  <c:v>9.9562000000000001E-4</c:v>
                </c:pt>
                <c:pt idx="2">
                  <c:v>2.3476999999999999E-3</c:v>
                </c:pt>
                <c:pt idx="3">
                  <c:v>2.5010000000000002E-3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D4-4E3F-AA7C-4B3F90FB1FA0}"/>
            </c:ext>
          </c:extLst>
        </c:ser>
        <c:ser>
          <c:idx val="2"/>
          <c:order val="2"/>
          <c:tx>
            <c:strRef>
              <c:f>Sheet1!$L$86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Sheet1!$M$83:$P$83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Sheet1!$M$86:$P$86</c:f>
              <c:numCache>
                <c:formatCode>0.0000</c:formatCode>
                <c:ptCount val="4"/>
                <c:pt idx="0">
                  <c:v>6.0958999999999996E-3</c:v>
                </c:pt>
                <c:pt idx="1">
                  <c:v>8.6412000000000001E-4</c:v>
                </c:pt>
                <c:pt idx="2">
                  <c:v>3.9921000000000002E-3</c:v>
                </c:pt>
                <c:pt idx="3">
                  <c:v>7.2046999999999996E-3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D4-4E3F-AA7C-4B3F90FB1FA0}"/>
            </c:ext>
          </c:extLst>
        </c:ser>
        <c:ser>
          <c:idx val="3"/>
          <c:order val="3"/>
          <c:tx>
            <c:strRef>
              <c:f>Sheet1!$L$87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Sheet1!$M$83:$P$83</c:f>
              <c:strCache>
                <c:ptCount val="4"/>
                <c:pt idx="0">
                  <c:v>Ux</c:v>
                </c:pt>
                <c:pt idx="1">
                  <c:v>Uy</c:v>
                </c:pt>
                <c:pt idx="2">
                  <c:v>Uz</c:v>
                </c:pt>
                <c:pt idx="3">
                  <c:v>Ut</c:v>
                </c:pt>
              </c:strCache>
            </c:strRef>
          </c:cat>
          <c:val>
            <c:numRef>
              <c:f>Sheet1!$M$87:$P$87</c:f>
              <c:numCache>
                <c:formatCode>0.0000</c:formatCode>
                <c:ptCount val="4"/>
                <c:pt idx="0">
                  <c:v>6.5348000000000003E-3</c:v>
                </c:pt>
                <c:pt idx="1">
                  <c:v>1.4270999999999999E-3</c:v>
                </c:pt>
                <c:pt idx="2">
                  <c:v>4.1235999999999998E-3</c:v>
                </c:pt>
                <c:pt idx="3">
                  <c:v>7.6147000000000003E-3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D4-4E3F-AA7C-4B3F90FB1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169152"/>
        <c:axId val="133170688"/>
      </c:barChart>
      <c:catAx>
        <c:axId val="133169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3170688"/>
        <c:crosses val="autoZero"/>
        <c:auto val="1"/>
        <c:lblAlgn val="ctr"/>
        <c:lblOffset val="100"/>
        <c:noMultiLvlLbl val="0"/>
      </c:catAx>
      <c:valAx>
        <c:axId val="133170688"/>
        <c:scaling>
          <c:orientation val="minMax"/>
        </c:scaling>
        <c:delete val="0"/>
        <c:axPos val="l"/>
        <c:majorGridlines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316915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Cancellous Stresses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Sheet1!$L$84</c:f>
              <c:strCache>
                <c:ptCount val="1"/>
                <c:pt idx="0">
                  <c:v>Zr + Vert</c:v>
                </c:pt>
              </c:strCache>
            </c:strRef>
          </c:tx>
          <c:invertIfNegative val="0"/>
          <c:cat>
            <c:strRef>
              <c:f>Sheet1!$Q$83:$T$83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Sheet1!$Q$84:$T$84</c:f>
              <c:numCache>
                <c:formatCode>0.00</c:formatCode>
                <c:ptCount val="4"/>
                <c:pt idx="0">
                  <c:v>1.9778</c:v>
                </c:pt>
                <c:pt idx="1">
                  <c:v>1.1408</c:v>
                </c:pt>
                <c:pt idx="2">
                  <c:v>1.7488999999999999</c:v>
                </c:pt>
                <c:pt idx="3">
                  <c:v>1.643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6-46B8-9C87-2FB4AC912152}"/>
            </c:ext>
          </c:extLst>
        </c:ser>
        <c:ser>
          <c:idx val="1"/>
          <c:order val="1"/>
          <c:tx>
            <c:strRef>
              <c:f>Sheet1!$L$85</c:f>
              <c:strCache>
                <c:ptCount val="1"/>
                <c:pt idx="0">
                  <c:v>PEKK + Vert</c:v>
                </c:pt>
              </c:strCache>
            </c:strRef>
          </c:tx>
          <c:invertIfNegative val="0"/>
          <c:cat>
            <c:strRef>
              <c:f>Sheet1!$Q$83:$T$83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Sheet1!$Q$85:$T$85</c:f>
              <c:numCache>
                <c:formatCode>0.00</c:formatCode>
                <c:ptCount val="4"/>
                <c:pt idx="0">
                  <c:v>1.9340999999999999</c:v>
                </c:pt>
                <c:pt idx="1">
                  <c:v>1.1156999999999999</c:v>
                </c:pt>
                <c:pt idx="2">
                  <c:v>1.8918999999999999</c:v>
                </c:pt>
                <c:pt idx="3">
                  <c:v>1.5999000000000001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6-46B8-9C87-2FB4AC912152}"/>
            </c:ext>
          </c:extLst>
        </c:ser>
        <c:ser>
          <c:idx val="2"/>
          <c:order val="2"/>
          <c:tx>
            <c:strRef>
              <c:f>Sheet1!$L$86</c:f>
              <c:strCache>
                <c:ptCount val="1"/>
                <c:pt idx="0">
                  <c:v>Zr + Oblique</c:v>
                </c:pt>
              </c:strCache>
            </c:strRef>
          </c:tx>
          <c:invertIfNegative val="0"/>
          <c:cat>
            <c:strRef>
              <c:f>Sheet1!$Q$83:$T$83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Sheet1!$Q$86:$T$86</c:f>
              <c:numCache>
                <c:formatCode>0.00</c:formatCode>
                <c:ptCount val="4"/>
                <c:pt idx="0">
                  <c:v>2.9178000000000002</c:v>
                </c:pt>
                <c:pt idx="1">
                  <c:v>1.6883999999999999</c:v>
                </c:pt>
                <c:pt idx="2">
                  <c:v>2.1149</c:v>
                </c:pt>
                <c:pt idx="3">
                  <c:v>2.097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B6-46B8-9C87-2FB4AC912152}"/>
            </c:ext>
          </c:extLst>
        </c:ser>
        <c:ser>
          <c:idx val="3"/>
          <c:order val="3"/>
          <c:tx>
            <c:strRef>
              <c:f>Sheet1!$L$87</c:f>
              <c:strCache>
                <c:ptCount val="1"/>
                <c:pt idx="0">
                  <c:v>PEKK + Oblique</c:v>
                </c:pt>
              </c:strCache>
            </c:strRef>
          </c:tx>
          <c:invertIfNegative val="0"/>
          <c:cat>
            <c:strRef>
              <c:f>Sheet1!$Q$83:$T$83</c:f>
              <c:strCache>
                <c:ptCount val="4"/>
                <c:pt idx="0">
                  <c:v>Svon</c:v>
                </c:pt>
                <c:pt idx="1">
                  <c:v>S shear</c:v>
                </c:pt>
                <c:pt idx="2">
                  <c:v>Smax Principal</c:v>
                </c:pt>
                <c:pt idx="3">
                  <c:v>Smin Principal</c:v>
                </c:pt>
              </c:strCache>
            </c:strRef>
          </c:cat>
          <c:val>
            <c:numRef>
              <c:f>Sheet1!$Q$87:$T$87</c:f>
              <c:numCache>
                <c:formatCode>0.00</c:formatCode>
                <c:ptCount val="4"/>
                <c:pt idx="0">
                  <c:v>3.3029000000000002</c:v>
                </c:pt>
                <c:pt idx="1">
                  <c:v>1.9068000000000001</c:v>
                </c:pt>
                <c:pt idx="2">
                  <c:v>2.3832</c:v>
                </c:pt>
                <c:pt idx="3">
                  <c:v>2.2688000000000001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B6-46B8-9C87-2FB4AC912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342912"/>
        <c:axId val="134662400"/>
      </c:barChart>
      <c:catAx>
        <c:axId val="134342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4662400"/>
        <c:crosses val="autoZero"/>
        <c:auto val="1"/>
        <c:lblAlgn val="ctr"/>
        <c:lblOffset val="100"/>
        <c:noMultiLvlLbl val="0"/>
      </c:catAx>
      <c:valAx>
        <c:axId val="134662400"/>
        <c:scaling>
          <c:orientation val="minMax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43429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581025</xdr:colOff>
      <xdr:row>18</xdr:row>
      <xdr:rowOff>19050</xdr:rowOff>
    </xdr:from>
    <xdr:to>
      <xdr:col>28</xdr:col>
      <xdr:colOff>276225</xdr:colOff>
      <xdr:row>31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9525</xdr:colOff>
      <xdr:row>18</xdr:row>
      <xdr:rowOff>28575</xdr:rowOff>
    </xdr:from>
    <xdr:to>
      <xdr:col>36</xdr:col>
      <xdr:colOff>314325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33</xdr:row>
      <xdr:rowOff>0</xdr:rowOff>
    </xdr:from>
    <xdr:to>
      <xdr:col>28</xdr:col>
      <xdr:colOff>304800</xdr:colOff>
      <xdr:row>46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33</xdr:row>
      <xdr:rowOff>0</xdr:rowOff>
    </xdr:from>
    <xdr:to>
      <xdr:col>36</xdr:col>
      <xdr:colOff>304800</xdr:colOff>
      <xdr:row>46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48</xdr:row>
      <xdr:rowOff>0</xdr:rowOff>
    </xdr:from>
    <xdr:to>
      <xdr:col>28</xdr:col>
      <xdr:colOff>304800</xdr:colOff>
      <xdr:row>61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0</xdr:colOff>
      <xdr:row>48</xdr:row>
      <xdr:rowOff>0</xdr:rowOff>
    </xdr:from>
    <xdr:to>
      <xdr:col>36</xdr:col>
      <xdr:colOff>304800</xdr:colOff>
      <xdr:row>61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63</xdr:row>
      <xdr:rowOff>0</xdr:rowOff>
    </xdr:from>
    <xdr:to>
      <xdr:col>28</xdr:col>
      <xdr:colOff>304800</xdr:colOff>
      <xdr:row>77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0</xdr:colOff>
      <xdr:row>63</xdr:row>
      <xdr:rowOff>0</xdr:rowOff>
    </xdr:from>
    <xdr:to>
      <xdr:col>36</xdr:col>
      <xdr:colOff>304800</xdr:colOff>
      <xdr:row>77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0</xdr:colOff>
      <xdr:row>78</xdr:row>
      <xdr:rowOff>0</xdr:rowOff>
    </xdr:from>
    <xdr:to>
      <xdr:col>28</xdr:col>
      <xdr:colOff>304800</xdr:colOff>
      <xdr:row>92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0</xdr:colOff>
      <xdr:row>78</xdr:row>
      <xdr:rowOff>0</xdr:rowOff>
    </xdr:from>
    <xdr:to>
      <xdr:col>36</xdr:col>
      <xdr:colOff>304800</xdr:colOff>
      <xdr:row>92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0</xdr:colOff>
      <xdr:row>93</xdr:row>
      <xdr:rowOff>0</xdr:rowOff>
    </xdr:from>
    <xdr:to>
      <xdr:col>28</xdr:col>
      <xdr:colOff>304800</xdr:colOff>
      <xdr:row>107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0</xdr:colOff>
      <xdr:row>93</xdr:row>
      <xdr:rowOff>0</xdr:rowOff>
    </xdr:from>
    <xdr:to>
      <xdr:col>36</xdr:col>
      <xdr:colOff>304800</xdr:colOff>
      <xdr:row>107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"/>
  <sheetViews>
    <sheetView tabSelected="1" topLeftCell="A20" zoomScale="70" zoomScaleNormal="70" workbookViewId="0">
      <selection activeCell="AK53" sqref="AK53"/>
    </sheetView>
  </sheetViews>
  <sheetFormatPr defaultColWidth="13.5703125" defaultRowHeight="15" x14ac:dyDescent="0.25"/>
  <cols>
    <col min="16" max="16" width="13.5703125" style="59"/>
  </cols>
  <sheetData>
    <row r="1" spans="2:19" ht="20.25" x14ac:dyDescent="0.3">
      <c r="B1" s="6" t="s">
        <v>16</v>
      </c>
    </row>
    <row r="2" spans="2:19" ht="20.25" x14ac:dyDescent="0.3">
      <c r="B2" s="7" t="s">
        <v>17</v>
      </c>
    </row>
    <row r="4" spans="2:19" ht="15.75" thickBot="1" x14ac:dyDescent="0.3"/>
    <row r="5" spans="2:19" ht="26.25" thickBot="1" x14ac:dyDescent="0.3">
      <c r="B5" s="1" t="s">
        <v>0</v>
      </c>
      <c r="C5" s="2" t="s">
        <v>1</v>
      </c>
      <c r="D5" s="2" t="s">
        <v>2</v>
      </c>
      <c r="L5" s="62" t="e">
        <f>#REF!</f>
        <v>#REF!</v>
      </c>
      <c r="M5" s="62" t="e">
        <f>#REF!</f>
        <v>#REF!</v>
      </c>
      <c r="N5" s="62" t="e">
        <f>#REF!</f>
        <v>#REF!</v>
      </c>
      <c r="O5" s="63" t="e">
        <f>#REF!</f>
        <v>#REF!</v>
      </c>
      <c r="P5" s="60">
        <v>3.1351E-3</v>
      </c>
      <c r="Q5" s="58">
        <v>3.1351E-3</v>
      </c>
      <c r="R5" s="58">
        <v>3.1351E-3</v>
      </c>
      <c r="S5" s="58">
        <v>3.1351E-3</v>
      </c>
    </row>
    <row r="6" spans="2:19" ht="15.75" thickBot="1" x14ac:dyDescent="0.3">
      <c r="B6" s="3" t="s">
        <v>3</v>
      </c>
      <c r="C6" s="8">
        <v>210000</v>
      </c>
      <c r="D6" s="9">
        <v>0.3</v>
      </c>
      <c r="P6" s="60">
        <v>2.2256000000000001E-2</v>
      </c>
      <c r="Q6" s="58">
        <v>2.2256000000000001E-2</v>
      </c>
      <c r="R6" s="58">
        <v>2.2256000000000001E-2</v>
      </c>
      <c r="S6" s="58">
        <v>2.2256000000000001E-2</v>
      </c>
    </row>
    <row r="7" spans="2:19" ht="15.75" thickBot="1" x14ac:dyDescent="0.3">
      <c r="B7" s="3" t="s">
        <v>4</v>
      </c>
      <c r="C7" s="8">
        <v>5100</v>
      </c>
      <c r="D7" s="9">
        <v>0.4</v>
      </c>
      <c r="P7" s="60">
        <v>2.3550999999999999E-2</v>
      </c>
      <c r="Q7" s="58">
        <v>2.3550999999999999E-2</v>
      </c>
      <c r="R7" s="58">
        <v>2.3550999999999999E-2</v>
      </c>
      <c r="S7" s="58">
        <v>2.3550999999999999E-2</v>
      </c>
    </row>
    <row r="8" spans="2:19" ht="15.75" thickBot="1" x14ac:dyDescent="0.3">
      <c r="B8" s="3" t="s">
        <v>5</v>
      </c>
      <c r="C8" s="10">
        <v>8300</v>
      </c>
      <c r="D8" s="11">
        <v>0.3</v>
      </c>
      <c r="P8" s="60">
        <v>5.1154999999999999E-2</v>
      </c>
      <c r="Q8" s="58">
        <v>5.1154999999999999E-2</v>
      </c>
      <c r="R8" s="58">
        <v>5.1154999999999999E-2</v>
      </c>
      <c r="S8" s="58">
        <v>5.1154999999999999E-2</v>
      </c>
    </row>
    <row r="9" spans="2:19" ht="15.75" thickBot="1" x14ac:dyDescent="0.3">
      <c r="B9" s="3" t="s">
        <v>6</v>
      </c>
      <c r="C9" s="8">
        <v>110000</v>
      </c>
      <c r="D9" s="9">
        <v>0.35</v>
      </c>
    </row>
    <row r="10" spans="2:19" ht="15.75" thickBot="1" x14ac:dyDescent="0.3">
      <c r="B10" s="3" t="s">
        <v>7</v>
      </c>
      <c r="C10" s="9">
        <v>10</v>
      </c>
      <c r="D10" s="9">
        <v>0.4</v>
      </c>
    </row>
    <row r="11" spans="2:19" ht="15.75" thickBot="1" x14ac:dyDescent="0.3">
      <c r="B11" s="3" t="s">
        <v>8</v>
      </c>
      <c r="C11" s="8">
        <v>13700</v>
      </c>
      <c r="D11" s="9">
        <v>0.3</v>
      </c>
    </row>
    <row r="12" spans="2:19" ht="15.75" thickBot="1" x14ac:dyDescent="0.3">
      <c r="B12" s="3" t="s">
        <v>9</v>
      </c>
      <c r="C12" s="8">
        <v>1370</v>
      </c>
      <c r="D12" s="9">
        <v>0.3</v>
      </c>
    </row>
    <row r="14" spans="2:19" x14ac:dyDescent="0.25">
      <c r="P14" s="59">
        <v>3.1351E-3</v>
      </c>
      <c r="Q14">
        <v>2.2256000000000001E-2</v>
      </c>
      <c r="R14">
        <v>2.3550999999999999E-2</v>
      </c>
      <c r="S14">
        <v>5.1154999999999999E-2</v>
      </c>
    </row>
    <row r="15" spans="2:19" ht="15.75" thickBot="1" x14ac:dyDescent="0.3"/>
    <row r="16" spans="2:19" ht="15.75" thickBot="1" x14ac:dyDescent="0.3">
      <c r="B16" s="4" t="s">
        <v>10</v>
      </c>
      <c r="C16" s="5" t="s">
        <v>11</v>
      </c>
      <c r="D16" s="5" t="s">
        <v>12</v>
      </c>
    </row>
    <row r="17" spans="1:20" ht="15.75" thickBot="1" x14ac:dyDescent="0.3">
      <c r="B17" s="3" t="s">
        <v>13</v>
      </c>
      <c r="C17" s="27">
        <v>325981</v>
      </c>
      <c r="D17" s="27">
        <v>235836</v>
      </c>
    </row>
    <row r="18" spans="1:20" ht="15.75" thickBot="1" x14ac:dyDescent="0.3">
      <c r="B18" s="3" t="s">
        <v>14</v>
      </c>
      <c r="C18" s="27">
        <f>20082+19961</f>
        <v>40043</v>
      </c>
      <c r="D18" s="27">
        <f>10008+9932</f>
        <v>19940</v>
      </c>
    </row>
    <row r="19" spans="1:20" ht="15.75" thickBot="1" x14ac:dyDescent="0.3">
      <c r="B19" s="3" t="s">
        <v>15</v>
      </c>
      <c r="C19" s="27">
        <f>109720+22129+37981+110747+22825+37312</f>
        <v>340714</v>
      </c>
      <c r="D19" s="27">
        <f>77134+15158+26566+77892+15671+26186</f>
        <v>238607</v>
      </c>
    </row>
    <row r="20" spans="1:20" ht="15.75" thickBot="1" x14ac:dyDescent="0.3">
      <c r="B20" s="3" t="s">
        <v>7</v>
      </c>
      <c r="C20" s="27">
        <v>21818</v>
      </c>
      <c r="D20" s="27">
        <v>13429</v>
      </c>
    </row>
    <row r="21" spans="1:20" ht="15.75" thickBot="1" x14ac:dyDescent="0.3">
      <c r="B21" s="3" t="s">
        <v>8</v>
      </c>
      <c r="C21" s="27">
        <v>35936</v>
      </c>
      <c r="D21" s="27">
        <v>18938</v>
      </c>
    </row>
    <row r="22" spans="1:20" ht="15.75" thickBot="1" x14ac:dyDescent="0.3">
      <c r="B22" s="3" t="s">
        <v>9</v>
      </c>
      <c r="C22" s="27">
        <v>517970</v>
      </c>
      <c r="D22" s="27">
        <v>373256</v>
      </c>
    </row>
    <row r="26" spans="1:20" ht="15.75" thickBot="1" x14ac:dyDescent="0.3"/>
    <row r="27" spans="1:20" ht="15.75" thickBot="1" x14ac:dyDescent="0.3">
      <c r="A27" s="19" t="s">
        <v>29</v>
      </c>
      <c r="B27" s="19" t="s">
        <v>28</v>
      </c>
      <c r="C27" s="14" t="s">
        <v>27</v>
      </c>
      <c r="D27" s="15" t="s">
        <v>27</v>
      </c>
      <c r="E27" s="15" t="s">
        <v>27</v>
      </c>
      <c r="F27" s="15" t="s">
        <v>27</v>
      </c>
      <c r="G27" s="15" t="s">
        <v>26</v>
      </c>
      <c r="H27" s="15" t="s">
        <v>26</v>
      </c>
      <c r="I27" s="15" t="s">
        <v>26</v>
      </c>
      <c r="J27" s="16" t="s">
        <v>26</v>
      </c>
    </row>
    <row r="28" spans="1:20" ht="15.75" thickBot="1" x14ac:dyDescent="0.3">
      <c r="B28" s="12" t="s">
        <v>10</v>
      </c>
      <c r="C28" s="17" t="s">
        <v>18</v>
      </c>
      <c r="D28" s="18" t="s">
        <v>19</v>
      </c>
      <c r="E28" s="18" t="s">
        <v>20</v>
      </c>
      <c r="F28" s="18" t="s">
        <v>21</v>
      </c>
      <c r="G28" s="18" t="s">
        <v>22</v>
      </c>
      <c r="H28" s="18" t="s">
        <v>23</v>
      </c>
      <c r="I28" s="18" t="s">
        <v>24</v>
      </c>
      <c r="J28" s="20" t="s">
        <v>25</v>
      </c>
      <c r="L28" s="26" t="s">
        <v>13</v>
      </c>
      <c r="M28" s="21" t="s">
        <v>18</v>
      </c>
      <c r="N28" s="18" t="s">
        <v>19</v>
      </c>
      <c r="O28" s="18" t="s">
        <v>20</v>
      </c>
      <c r="P28" s="61" t="s">
        <v>21</v>
      </c>
      <c r="Q28" s="18" t="s">
        <v>22</v>
      </c>
      <c r="R28" s="18" t="s">
        <v>23</v>
      </c>
      <c r="S28" s="18" t="s">
        <v>24</v>
      </c>
      <c r="T28" s="20" t="s">
        <v>25</v>
      </c>
    </row>
    <row r="29" spans="1:20" ht="15.75" thickBot="1" x14ac:dyDescent="0.3">
      <c r="B29" s="13" t="s">
        <v>13</v>
      </c>
      <c r="C29" s="28">
        <v>1.9360000000000001E-5</v>
      </c>
      <c r="D29" s="29">
        <v>6.7495999999999997E-3</v>
      </c>
      <c r="E29" s="29">
        <v>3.1227E-3</v>
      </c>
      <c r="F29" s="45">
        <v>3.1351E-3</v>
      </c>
      <c r="G29" s="30">
        <v>208.64</v>
      </c>
      <c r="H29" s="31">
        <v>115.76</v>
      </c>
      <c r="I29" s="31">
        <v>105.16</v>
      </c>
      <c r="J29" s="32">
        <v>225</v>
      </c>
      <c r="L29" s="22" t="str">
        <f>B27</f>
        <v>Zr + Vert</v>
      </c>
      <c r="M29" s="24">
        <f>C29</f>
        <v>1.9360000000000001E-5</v>
      </c>
      <c r="N29" s="24">
        <f t="shared" ref="N29:T29" si="0">D29</f>
        <v>6.7495999999999997E-3</v>
      </c>
      <c r="O29" s="24">
        <f t="shared" si="0"/>
        <v>3.1227E-3</v>
      </c>
      <c r="P29" s="62">
        <f t="shared" si="0"/>
        <v>3.1351E-3</v>
      </c>
      <c r="Q29" s="43">
        <f t="shared" si="0"/>
        <v>208.64</v>
      </c>
      <c r="R29" s="43">
        <f t="shared" si="0"/>
        <v>115.76</v>
      </c>
      <c r="S29" s="43">
        <f t="shared" si="0"/>
        <v>105.16</v>
      </c>
      <c r="T29" s="43">
        <f t="shared" si="0"/>
        <v>225</v>
      </c>
    </row>
    <row r="30" spans="1:20" ht="15.75" thickBot="1" x14ac:dyDescent="0.3">
      <c r="B30" s="13" t="s">
        <v>14</v>
      </c>
      <c r="C30" s="33">
        <v>1.0701E-5</v>
      </c>
      <c r="D30" s="34">
        <v>4.3701999999999999E-4</v>
      </c>
      <c r="E30" s="34">
        <v>2.6167999999999999E-3</v>
      </c>
      <c r="F30" s="46">
        <v>2.627E-3</v>
      </c>
      <c r="G30" s="35">
        <v>5.0717999999999996</v>
      </c>
      <c r="H30" s="36">
        <v>2.7766999999999999</v>
      </c>
      <c r="I30" s="36">
        <v>7.0039999999999996</v>
      </c>
      <c r="J30" s="37">
        <v>3.5169000000000001</v>
      </c>
      <c r="L30" s="22" t="str">
        <f>B38</f>
        <v>PEKK + Vert</v>
      </c>
      <c r="M30" s="24">
        <f>C40</f>
        <v>2.8846000000000002E-3</v>
      </c>
      <c r="N30" s="24">
        <f t="shared" ref="N30:T30" si="1">D40</f>
        <v>4.2240000000000003E-3</v>
      </c>
      <c r="O30" s="24">
        <f t="shared" si="1"/>
        <v>2.2245000000000001E-2</v>
      </c>
      <c r="P30" s="62">
        <f t="shared" si="1"/>
        <v>2.2256000000000001E-2</v>
      </c>
      <c r="Q30" s="43">
        <f t="shared" si="1"/>
        <v>194.55</v>
      </c>
      <c r="R30" s="43">
        <f t="shared" si="1"/>
        <v>108.11</v>
      </c>
      <c r="S30" s="43">
        <f t="shared" si="1"/>
        <v>106.01</v>
      </c>
      <c r="T30" s="43">
        <f t="shared" si="1"/>
        <v>222.93</v>
      </c>
    </row>
    <row r="31" spans="1:20" ht="15.75" thickBot="1" x14ac:dyDescent="0.3">
      <c r="B31" s="13" t="s">
        <v>15</v>
      </c>
      <c r="C31" s="33">
        <v>1.7799999999999999E-5</v>
      </c>
      <c r="D31" s="34">
        <v>4.6642999999999999E-4</v>
      </c>
      <c r="E31" s="34">
        <v>2.6145999999999999E-3</v>
      </c>
      <c r="F31" s="46">
        <v>2.6259999999999999E-3</v>
      </c>
      <c r="G31" s="35">
        <v>26.38</v>
      </c>
      <c r="H31" s="36">
        <v>14.356999999999999</v>
      </c>
      <c r="I31" s="36">
        <v>20.715</v>
      </c>
      <c r="J31" s="37">
        <v>30.788</v>
      </c>
      <c r="L31" s="22" t="str">
        <f>B49</f>
        <v>Zr + Oblique</v>
      </c>
      <c r="M31" s="24">
        <f>C51</f>
        <v>2.2735999999999999E-2</v>
      </c>
      <c r="N31" s="24">
        <f t="shared" ref="N31:T31" si="2">D51</f>
        <v>8.3571999999999997E-4</v>
      </c>
      <c r="O31" s="24">
        <f t="shared" si="2"/>
        <v>1.0255999999999999E-2</v>
      </c>
      <c r="P31" s="62">
        <f t="shared" si="2"/>
        <v>2.3550999999999999E-2</v>
      </c>
      <c r="Q31" s="43">
        <f t="shared" si="2"/>
        <v>223.2</v>
      </c>
      <c r="R31" s="43">
        <f t="shared" si="2"/>
        <v>128.86000000000001</v>
      </c>
      <c r="S31" s="43">
        <f t="shared" si="2"/>
        <v>172.94</v>
      </c>
      <c r="T31" s="43">
        <f t="shared" si="2"/>
        <v>124.49</v>
      </c>
    </row>
    <row r="32" spans="1:20" ht="15.75" thickBot="1" x14ac:dyDescent="0.3">
      <c r="B32" s="13" t="s">
        <v>7</v>
      </c>
      <c r="C32" s="33">
        <v>4.0123999999999997E-4</v>
      </c>
      <c r="D32" s="34">
        <v>7.4425000000000001E-4</v>
      </c>
      <c r="E32" s="34">
        <v>2.9607000000000001E-3</v>
      </c>
      <c r="F32" s="46">
        <v>2.9640000000000001E-3</v>
      </c>
      <c r="G32" s="35">
        <v>2.0164999999999999E-2</v>
      </c>
      <c r="H32" s="36">
        <v>1.1128000000000001E-2</v>
      </c>
      <c r="I32" s="36">
        <v>1.0118E-2</v>
      </c>
      <c r="J32" s="37">
        <v>3.4228000000000001E-2</v>
      </c>
      <c r="L32" s="23" t="str">
        <f>B60</f>
        <v>PEKK + Oblique</v>
      </c>
      <c r="M32" s="25">
        <f>C62</f>
        <v>5.0196999999999999E-2</v>
      </c>
      <c r="N32" s="25">
        <f t="shared" ref="N32:T32" si="3">D62</f>
        <v>7.9331000000000002E-3</v>
      </c>
      <c r="O32" s="25">
        <f t="shared" si="3"/>
        <v>2.7234000000000001E-2</v>
      </c>
      <c r="P32" s="63">
        <f t="shared" si="3"/>
        <v>5.1154999999999999E-2</v>
      </c>
      <c r="Q32" s="44">
        <f t="shared" si="3"/>
        <v>210.75</v>
      </c>
      <c r="R32" s="44">
        <f t="shared" si="3"/>
        <v>121.66</v>
      </c>
      <c r="S32" s="44">
        <f t="shared" si="3"/>
        <v>131.28</v>
      </c>
      <c r="T32" s="44">
        <f t="shared" si="3"/>
        <v>133.69</v>
      </c>
    </row>
    <row r="33" spans="1:20" ht="15.75" thickBot="1" x14ac:dyDescent="0.3">
      <c r="B33" s="13" t="s">
        <v>8</v>
      </c>
      <c r="C33" s="33">
        <v>2.7528999999999997E-4</v>
      </c>
      <c r="D33" s="34">
        <v>5.8288000000000003E-4</v>
      </c>
      <c r="E33" s="34">
        <v>2.4572999999999999E-3</v>
      </c>
      <c r="F33" s="46">
        <v>2.4941999999999998E-3</v>
      </c>
      <c r="G33" s="35">
        <v>3.8628999999999998</v>
      </c>
      <c r="H33" s="36">
        <v>2.1625000000000001</v>
      </c>
      <c r="I33" s="36">
        <v>4.6482000000000001</v>
      </c>
      <c r="J33" s="37">
        <v>5.4928999999999997</v>
      </c>
    </row>
    <row r="34" spans="1:20" ht="15.75" thickBot="1" x14ac:dyDescent="0.3">
      <c r="B34" s="13" t="s">
        <v>9</v>
      </c>
      <c r="C34" s="38">
        <v>2.5340999999999997E-4</v>
      </c>
      <c r="D34" s="39">
        <v>5.7339999999999995E-4</v>
      </c>
      <c r="E34" s="39">
        <v>2.3896999999999998E-3</v>
      </c>
      <c r="F34" s="47">
        <v>2.4234999999999999E-3</v>
      </c>
      <c r="G34" s="40">
        <v>1.9778</v>
      </c>
      <c r="H34" s="41">
        <v>1.1408</v>
      </c>
      <c r="I34" s="41">
        <v>1.7488999999999999</v>
      </c>
      <c r="J34" s="42">
        <v>1.643</v>
      </c>
    </row>
    <row r="37" spans="1:20" ht="15.75" thickBot="1" x14ac:dyDescent="0.3"/>
    <row r="38" spans="1:20" ht="15.75" thickBot="1" x14ac:dyDescent="0.3">
      <c r="A38" s="19" t="s">
        <v>31</v>
      </c>
      <c r="B38" s="19" t="s">
        <v>30</v>
      </c>
      <c r="C38" s="14" t="s">
        <v>27</v>
      </c>
      <c r="D38" s="15" t="s">
        <v>27</v>
      </c>
      <c r="E38" s="15" t="s">
        <v>27</v>
      </c>
      <c r="F38" s="15" t="s">
        <v>27</v>
      </c>
      <c r="G38" s="15" t="s">
        <v>26</v>
      </c>
      <c r="H38" s="15" t="s">
        <v>26</v>
      </c>
      <c r="I38" s="15" t="s">
        <v>26</v>
      </c>
      <c r="J38" s="16" t="s">
        <v>26</v>
      </c>
    </row>
    <row r="39" spans="1:20" ht="15.75" thickBot="1" x14ac:dyDescent="0.3">
      <c r="B39" s="12" t="s">
        <v>10</v>
      </c>
      <c r="C39" s="17" t="s">
        <v>18</v>
      </c>
      <c r="D39" s="18" t="s">
        <v>19</v>
      </c>
      <c r="E39" s="18" t="s">
        <v>20</v>
      </c>
      <c r="F39" s="18" t="s">
        <v>21</v>
      </c>
      <c r="G39" s="18" t="s">
        <v>22</v>
      </c>
      <c r="H39" s="18" t="s">
        <v>23</v>
      </c>
      <c r="I39" s="18" t="s">
        <v>24</v>
      </c>
      <c r="J39" s="20" t="s">
        <v>25</v>
      </c>
      <c r="L39" s="26" t="s">
        <v>14</v>
      </c>
      <c r="M39" s="21" t="s">
        <v>18</v>
      </c>
      <c r="N39" s="18" t="s">
        <v>19</v>
      </c>
      <c r="O39" s="18" t="s">
        <v>20</v>
      </c>
      <c r="P39" s="61" t="s">
        <v>21</v>
      </c>
      <c r="Q39" s="18" t="s">
        <v>22</v>
      </c>
      <c r="R39" s="18" t="s">
        <v>23</v>
      </c>
      <c r="S39" s="18" t="s">
        <v>24</v>
      </c>
      <c r="T39" s="20" t="s">
        <v>25</v>
      </c>
    </row>
    <row r="40" spans="1:20" ht="15.75" thickBot="1" x14ac:dyDescent="0.3">
      <c r="B40" s="13" t="s">
        <v>13</v>
      </c>
      <c r="C40" s="28">
        <v>2.8846000000000002E-3</v>
      </c>
      <c r="D40" s="29">
        <v>4.2240000000000003E-3</v>
      </c>
      <c r="E40" s="29">
        <v>2.2245000000000001E-2</v>
      </c>
      <c r="F40" s="45">
        <v>2.2256000000000001E-2</v>
      </c>
      <c r="G40" s="30">
        <v>194.55</v>
      </c>
      <c r="H40" s="31">
        <v>108.11</v>
      </c>
      <c r="I40" s="31">
        <v>106.01</v>
      </c>
      <c r="J40" s="32">
        <v>222.93</v>
      </c>
      <c r="L40" s="22" t="str">
        <f>L29</f>
        <v>Zr + Vert</v>
      </c>
      <c r="M40" s="24">
        <f>C30</f>
        <v>1.0701E-5</v>
      </c>
      <c r="N40" s="24">
        <f t="shared" ref="N40:T40" si="4">D30</f>
        <v>4.3701999999999999E-4</v>
      </c>
      <c r="O40" s="24">
        <f t="shared" si="4"/>
        <v>2.6167999999999999E-3</v>
      </c>
      <c r="P40" s="62">
        <f t="shared" si="4"/>
        <v>2.627E-3</v>
      </c>
      <c r="Q40" s="43">
        <f t="shared" si="4"/>
        <v>5.0717999999999996</v>
      </c>
      <c r="R40" s="43">
        <f t="shared" si="4"/>
        <v>2.7766999999999999</v>
      </c>
      <c r="S40" s="43">
        <f t="shared" si="4"/>
        <v>7.0039999999999996</v>
      </c>
      <c r="T40" s="43">
        <f t="shared" si="4"/>
        <v>3.5169000000000001</v>
      </c>
    </row>
    <row r="41" spans="1:20" ht="15.75" thickBot="1" x14ac:dyDescent="0.3">
      <c r="B41" s="13" t="s">
        <v>14</v>
      </c>
      <c r="C41" s="33">
        <v>5.719E-5</v>
      </c>
      <c r="D41" s="34">
        <v>1.0092E-3</v>
      </c>
      <c r="E41" s="34">
        <v>3.2864999999999999E-3</v>
      </c>
      <c r="F41" s="46">
        <v>3.2991000000000001E-3</v>
      </c>
      <c r="G41" s="35">
        <v>10.19</v>
      </c>
      <c r="H41" s="36">
        <v>5.7801</v>
      </c>
      <c r="I41" s="36">
        <v>5.1673</v>
      </c>
      <c r="J41" s="37">
        <v>10.029</v>
      </c>
      <c r="L41" s="22" t="str">
        <f t="shared" ref="L41:L43" si="5">L30</f>
        <v>PEKK + Vert</v>
      </c>
      <c r="M41" s="24">
        <f>C41</f>
        <v>5.719E-5</v>
      </c>
      <c r="N41" s="24">
        <f t="shared" ref="N41:T41" si="6">D41</f>
        <v>1.0092E-3</v>
      </c>
      <c r="O41" s="24">
        <f t="shared" si="6"/>
        <v>3.2864999999999999E-3</v>
      </c>
      <c r="P41" s="62">
        <f t="shared" si="6"/>
        <v>3.2991000000000001E-3</v>
      </c>
      <c r="Q41" s="43">
        <f t="shared" si="6"/>
        <v>10.19</v>
      </c>
      <c r="R41" s="43">
        <f t="shared" si="6"/>
        <v>5.7801</v>
      </c>
      <c r="S41" s="43">
        <f t="shared" si="6"/>
        <v>5.1673</v>
      </c>
      <c r="T41" s="43">
        <f t="shared" si="6"/>
        <v>10.029</v>
      </c>
    </row>
    <row r="42" spans="1:20" ht="15.75" thickBot="1" x14ac:dyDescent="0.3">
      <c r="B42" s="13" t="s">
        <v>15</v>
      </c>
      <c r="C42" s="33">
        <v>3.4039999999999999E-5</v>
      </c>
      <c r="D42" s="34">
        <v>9.8838000000000007E-4</v>
      </c>
      <c r="E42" s="34">
        <v>3.2450000000000001E-3</v>
      </c>
      <c r="F42" s="46">
        <v>2.3210000000000001E-3</v>
      </c>
      <c r="G42" s="35">
        <v>43.774999999999999</v>
      </c>
      <c r="H42" s="36">
        <v>23.608000000000001</v>
      </c>
      <c r="I42" s="36">
        <v>29.544</v>
      </c>
      <c r="J42" s="37">
        <v>52.594000000000001</v>
      </c>
      <c r="L42" s="22" t="str">
        <f t="shared" si="5"/>
        <v>Zr + Oblique</v>
      </c>
      <c r="M42" s="24">
        <f>C52</f>
        <v>1.5575E-2</v>
      </c>
      <c r="N42" s="24">
        <f t="shared" ref="N42:T42" si="7">D52</f>
        <v>4.2232000000000001E-4</v>
      </c>
      <c r="O42" s="24">
        <f t="shared" si="7"/>
        <v>5.2795999999999997E-3</v>
      </c>
      <c r="P42" s="62">
        <f t="shared" si="7"/>
        <v>1.6079E-2</v>
      </c>
      <c r="Q42" s="43">
        <f t="shared" si="7"/>
        <v>19.292999999999999</v>
      </c>
      <c r="R42" s="43">
        <f t="shared" si="7"/>
        <v>10.512</v>
      </c>
      <c r="S42" s="43">
        <f t="shared" si="7"/>
        <v>25.542000000000002</v>
      </c>
      <c r="T42" s="43">
        <f t="shared" si="7"/>
        <v>12.279</v>
      </c>
    </row>
    <row r="43" spans="1:20" ht="15.75" thickBot="1" x14ac:dyDescent="0.3">
      <c r="B43" s="13" t="s">
        <v>7</v>
      </c>
      <c r="C43" s="33">
        <v>1.5269999999999999E-3</v>
      </c>
      <c r="D43" s="34">
        <v>2.5071999999999998E-3</v>
      </c>
      <c r="E43" s="34">
        <v>1.1986E-2</v>
      </c>
      <c r="F43" s="46">
        <v>1.2083E-2</v>
      </c>
      <c r="G43" s="35">
        <v>0.10369</v>
      </c>
      <c r="H43" s="36">
        <v>5.7235000000000001E-2</v>
      </c>
      <c r="I43" s="36">
        <v>3.9327000000000001E-2</v>
      </c>
      <c r="J43" s="37">
        <v>0.17885999999999999</v>
      </c>
      <c r="L43" s="23" t="str">
        <f t="shared" si="5"/>
        <v>PEKK + Oblique</v>
      </c>
      <c r="M43" s="25">
        <f>C63</f>
        <v>1.9730999999999999E-2</v>
      </c>
      <c r="N43" s="25">
        <f t="shared" ref="N43:T43" si="8">D63</f>
        <v>2.0856999999999998E-3</v>
      </c>
      <c r="O43" s="25">
        <f t="shared" si="8"/>
        <v>5.6274000000000003E-3</v>
      </c>
      <c r="P43" s="63">
        <f t="shared" si="8"/>
        <v>2.0080000000000001E-2</v>
      </c>
      <c r="Q43" s="44">
        <f t="shared" si="8"/>
        <v>21.59</v>
      </c>
      <c r="R43" s="44">
        <f t="shared" si="8"/>
        <v>12.236000000000001</v>
      </c>
      <c r="S43" s="44">
        <f t="shared" si="8"/>
        <v>16.433</v>
      </c>
      <c r="T43" s="44">
        <f t="shared" si="8"/>
        <v>20.094000000000001</v>
      </c>
    </row>
    <row r="44" spans="1:20" ht="15.75" thickBot="1" x14ac:dyDescent="0.3">
      <c r="B44" s="13" t="s">
        <v>8</v>
      </c>
      <c r="C44" s="33">
        <v>4.1856E-4</v>
      </c>
      <c r="D44" s="34">
        <v>9.9222999999999998E-4</v>
      </c>
      <c r="E44" s="34">
        <v>2.4477000000000001E-3</v>
      </c>
      <c r="F44" s="46">
        <v>2.6131000000000001E-3</v>
      </c>
      <c r="G44" s="35">
        <v>4.9554</v>
      </c>
      <c r="H44" s="36">
        <v>2.7082000000000002</v>
      </c>
      <c r="I44" s="36">
        <v>5.5678000000000001</v>
      </c>
      <c r="J44" s="37">
        <v>6.8113000000000001</v>
      </c>
    </row>
    <row r="45" spans="1:20" ht="15.75" thickBot="1" x14ac:dyDescent="0.3">
      <c r="B45" s="13" t="s">
        <v>9</v>
      </c>
      <c r="C45" s="38">
        <v>3.4844999999999999E-4</v>
      </c>
      <c r="D45" s="39">
        <v>9.9562000000000001E-4</v>
      </c>
      <c r="E45" s="39">
        <v>2.3476999999999999E-3</v>
      </c>
      <c r="F45" s="47">
        <v>2.5010000000000002E-3</v>
      </c>
      <c r="G45" s="40">
        <v>1.9340999999999999</v>
      </c>
      <c r="H45" s="41">
        <v>1.1156999999999999</v>
      </c>
      <c r="I45" s="41">
        <v>1.8918999999999999</v>
      </c>
      <c r="J45" s="42">
        <v>1.5999000000000001</v>
      </c>
    </row>
    <row r="48" spans="1:20" ht="15.75" thickBot="1" x14ac:dyDescent="0.3"/>
    <row r="49" spans="1:20" ht="15.75" thickBot="1" x14ac:dyDescent="0.3">
      <c r="A49" s="19" t="s">
        <v>33</v>
      </c>
      <c r="B49" s="19" t="s">
        <v>32</v>
      </c>
      <c r="C49" s="14" t="s">
        <v>27</v>
      </c>
      <c r="D49" s="15" t="s">
        <v>27</v>
      </c>
      <c r="E49" s="15" t="s">
        <v>27</v>
      </c>
      <c r="F49" s="15" t="s">
        <v>27</v>
      </c>
      <c r="G49" s="15" t="s">
        <v>26</v>
      </c>
      <c r="H49" s="15" t="s">
        <v>26</v>
      </c>
      <c r="I49" s="15" t="s">
        <v>26</v>
      </c>
      <c r="J49" s="16" t="s">
        <v>26</v>
      </c>
    </row>
    <row r="50" spans="1:20" ht="26.25" thickBot="1" x14ac:dyDescent="0.3">
      <c r="B50" s="12" t="s">
        <v>10</v>
      </c>
      <c r="C50" s="17" t="s">
        <v>18</v>
      </c>
      <c r="D50" s="18" t="s">
        <v>19</v>
      </c>
      <c r="E50" s="18" t="s">
        <v>20</v>
      </c>
      <c r="F50" s="18" t="s">
        <v>21</v>
      </c>
      <c r="G50" s="18" t="s">
        <v>22</v>
      </c>
      <c r="H50" s="18" t="s">
        <v>23</v>
      </c>
      <c r="I50" s="18" t="s">
        <v>24</v>
      </c>
      <c r="J50" s="20" t="s">
        <v>25</v>
      </c>
      <c r="L50" s="26" t="s">
        <v>15</v>
      </c>
      <c r="M50" s="21" t="s">
        <v>18</v>
      </c>
      <c r="N50" s="18" t="s">
        <v>19</v>
      </c>
      <c r="O50" s="18" t="s">
        <v>20</v>
      </c>
      <c r="P50" s="61" t="s">
        <v>21</v>
      </c>
      <c r="Q50" s="18" t="s">
        <v>22</v>
      </c>
      <c r="R50" s="18" t="s">
        <v>23</v>
      </c>
      <c r="S50" s="18" t="s">
        <v>24</v>
      </c>
      <c r="T50" s="20" t="s">
        <v>25</v>
      </c>
    </row>
    <row r="51" spans="1:20" ht="15.75" thickBot="1" x14ac:dyDescent="0.3">
      <c r="B51" s="13" t="s">
        <v>13</v>
      </c>
      <c r="C51" s="28">
        <v>2.2735999999999999E-2</v>
      </c>
      <c r="D51" s="29">
        <v>8.3571999999999997E-4</v>
      </c>
      <c r="E51" s="29">
        <v>1.0255999999999999E-2</v>
      </c>
      <c r="F51" s="45">
        <v>2.3550999999999999E-2</v>
      </c>
      <c r="G51" s="30">
        <v>223.2</v>
      </c>
      <c r="H51" s="31">
        <v>128.86000000000001</v>
      </c>
      <c r="I51" s="31">
        <v>172.94</v>
      </c>
      <c r="J51" s="32">
        <v>124.49</v>
      </c>
      <c r="L51" s="22" t="str">
        <f>L40</f>
        <v>Zr + Vert</v>
      </c>
      <c r="M51" s="24">
        <f>C31</f>
        <v>1.7799999999999999E-5</v>
      </c>
      <c r="N51" s="24">
        <f t="shared" ref="N51:T51" si="9">D31</f>
        <v>4.6642999999999999E-4</v>
      </c>
      <c r="O51" s="24">
        <f t="shared" si="9"/>
        <v>2.6145999999999999E-3</v>
      </c>
      <c r="P51" s="62">
        <f t="shared" si="9"/>
        <v>2.6259999999999999E-3</v>
      </c>
      <c r="Q51" s="43">
        <f t="shared" si="9"/>
        <v>26.38</v>
      </c>
      <c r="R51" s="43">
        <f t="shared" si="9"/>
        <v>14.356999999999999</v>
      </c>
      <c r="S51" s="43">
        <f t="shared" si="9"/>
        <v>20.715</v>
      </c>
      <c r="T51" s="43">
        <f t="shared" si="9"/>
        <v>30.788</v>
      </c>
    </row>
    <row r="52" spans="1:20" ht="15.75" thickBot="1" x14ac:dyDescent="0.3">
      <c r="B52" s="13" t="s">
        <v>14</v>
      </c>
      <c r="C52" s="33">
        <v>1.5575E-2</v>
      </c>
      <c r="D52" s="34">
        <v>4.2232000000000001E-4</v>
      </c>
      <c r="E52" s="34">
        <v>5.2795999999999997E-3</v>
      </c>
      <c r="F52" s="46">
        <v>1.6079E-2</v>
      </c>
      <c r="G52" s="35">
        <v>19.292999999999999</v>
      </c>
      <c r="H52" s="36">
        <v>10.512</v>
      </c>
      <c r="I52" s="36">
        <v>25.542000000000002</v>
      </c>
      <c r="J52" s="37">
        <v>12.279</v>
      </c>
      <c r="L52" s="22" t="str">
        <f t="shared" ref="L52:L54" si="10">L41</f>
        <v>PEKK + Vert</v>
      </c>
      <c r="M52" s="24">
        <f>C42</f>
        <v>3.4039999999999999E-5</v>
      </c>
      <c r="N52" s="24">
        <f t="shared" ref="N52:T52" si="11">D42</f>
        <v>9.8838000000000007E-4</v>
      </c>
      <c r="O52" s="24">
        <f t="shared" si="11"/>
        <v>3.2450000000000001E-3</v>
      </c>
      <c r="P52" s="62">
        <v>3.2000000000000002E-3</v>
      </c>
      <c r="Q52" s="43">
        <f t="shared" si="11"/>
        <v>43.774999999999999</v>
      </c>
      <c r="R52" s="43">
        <f t="shared" si="11"/>
        <v>23.608000000000001</v>
      </c>
      <c r="S52" s="43">
        <f t="shared" si="11"/>
        <v>29.544</v>
      </c>
      <c r="T52" s="43">
        <f t="shared" si="11"/>
        <v>52.594000000000001</v>
      </c>
    </row>
    <row r="53" spans="1:20" ht="26.25" thickBot="1" x14ac:dyDescent="0.3">
      <c r="B53" s="13" t="s">
        <v>15</v>
      </c>
      <c r="C53" s="33">
        <v>1.5528999999999999E-2</v>
      </c>
      <c r="D53" s="34">
        <v>5.2094000000000001E-4</v>
      </c>
      <c r="E53" s="34">
        <v>5.2808000000000004E-3</v>
      </c>
      <c r="F53" s="46">
        <v>1.6048E-2</v>
      </c>
      <c r="G53" s="35">
        <v>289.02</v>
      </c>
      <c r="H53" s="36">
        <v>166.78</v>
      </c>
      <c r="I53" s="36">
        <v>165.43</v>
      </c>
      <c r="J53" s="37">
        <v>196.32</v>
      </c>
      <c r="L53" s="22" t="str">
        <f t="shared" si="10"/>
        <v>Zr + Oblique</v>
      </c>
      <c r="M53" s="24">
        <f>C53</f>
        <v>1.5528999999999999E-2</v>
      </c>
      <c r="N53" s="24">
        <f t="shared" ref="N53:T53" si="12">D53</f>
        <v>5.2094000000000001E-4</v>
      </c>
      <c r="O53" s="24">
        <f t="shared" si="12"/>
        <v>5.2808000000000004E-3</v>
      </c>
      <c r="P53" s="62">
        <f t="shared" si="12"/>
        <v>1.6048E-2</v>
      </c>
      <c r="Q53" s="43">
        <f t="shared" si="12"/>
        <v>289.02</v>
      </c>
      <c r="R53" s="43">
        <f t="shared" si="12"/>
        <v>166.78</v>
      </c>
      <c r="S53" s="43">
        <f t="shared" si="12"/>
        <v>165.43</v>
      </c>
      <c r="T53" s="43">
        <f t="shared" si="12"/>
        <v>196.32</v>
      </c>
    </row>
    <row r="54" spans="1:20" ht="15.75" thickBot="1" x14ac:dyDescent="0.3">
      <c r="B54" s="13" t="s">
        <v>7</v>
      </c>
      <c r="C54" s="33">
        <v>8.9531999999999997E-3</v>
      </c>
      <c r="D54" s="34">
        <v>1.2404E-3</v>
      </c>
      <c r="E54" s="34">
        <v>8.8892999999999993E-3</v>
      </c>
      <c r="F54" s="46">
        <v>1.2578000000000001E-2</v>
      </c>
      <c r="G54" s="35">
        <v>6.9690000000000002E-2</v>
      </c>
      <c r="H54" s="36">
        <v>3.8523000000000002E-2</v>
      </c>
      <c r="I54" s="36">
        <v>8.0643000000000006E-2</v>
      </c>
      <c r="J54" s="37">
        <v>0.12010999999999999</v>
      </c>
      <c r="L54" s="23" t="str">
        <f t="shared" si="10"/>
        <v>PEKK + Oblique</v>
      </c>
      <c r="M54" s="25">
        <f>C64</f>
        <v>1.9609000000000001E-2</v>
      </c>
      <c r="N54" s="25">
        <f t="shared" ref="N54:T54" si="13">D64</f>
        <v>2.0533999999999999E-3</v>
      </c>
      <c r="O54" s="25">
        <f t="shared" si="13"/>
        <v>5.4684E-3</v>
      </c>
      <c r="P54" s="63">
        <f t="shared" si="13"/>
        <v>1.9949000000000001E-2</v>
      </c>
      <c r="Q54" s="44">
        <f t="shared" si="13"/>
        <v>162.16</v>
      </c>
      <c r="R54" s="44">
        <f t="shared" si="13"/>
        <v>90.200999999999993</v>
      </c>
      <c r="S54" s="44">
        <f t="shared" si="13"/>
        <v>153.66999999999999</v>
      </c>
      <c r="T54" s="44">
        <f t="shared" si="13"/>
        <v>224.57</v>
      </c>
    </row>
    <row r="55" spans="1:20" ht="15.75" thickBot="1" x14ac:dyDescent="0.3">
      <c r="B55" s="13" t="s">
        <v>8</v>
      </c>
      <c r="C55" s="33">
        <v>6.8868000000000002E-3</v>
      </c>
      <c r="D55" s="34">
        <v>8.6583999999999999E-4</v>
      </c>
      <c r="E55" s="34">
        <v>3.9914E-3</v>
      </c>
      <c r="F55" s="46">
        <v>7.9105000000000009E-3</v>
      </c>
      <c r="G55" s="35">
        <v>14.26</v>
      </c>
      <c r="H55" s="36">
        <v>7.6144999999999996</v>
      </c>
      <c r="I55" s="36">
        <v>19.388999999999999</v>
      </c>
      <c r="J55" s="37">
        <v>20.942</v>
      </c>
    </row>
    <row r="56" spans="1:20" ht="26.25" thickBot="1" x14ac:dyDescent="0.3">
      <c r="B56" s="13" t="s">
        <v>9</v>
      </c>
      <c r="C56" s="38">
        <v>6.0958999999999996E-3</v>
      </c>
      <c r="D56" s="39">
        <v>8.6412000000000001E-4</v>
      </c>
      <c r="E56" s="39">
        <v>3.9921000000000002E-3</v>
      </c>
      <c r="F56" s="47">
        <v>7.2046999999999996E-3</v>
      </c>
      <c r="G56" s="40">
        <v>2.9178000000000002</v>
      </c>
      <c r="H56" s="41">
        <v>1.6883999999999999</v>
      </c>
      <c r="I56" s="41">
        <v>2.1149</v>
      </c>
      <c r="J56" s="42">
        <v>2.097</v>
      </c>
    </row>
    <row r="59" spans="1:20" ht="15.75" thickBot="1" x14ac:dyDescent="0.3"/>
    <row r="60" spans="1:20" ht="15.75" thickBot="1" x14ac:dyDescent="0.3">
      <c r="A60" s="19" t="s">
        <v>35</v>
      </c>
      <c r="B60" s="19" t="s">
        <v>34</v>
      </c>
      <c r="C60" s="14" t="s">
        <v>27</v>
      </c>
      <c r="D60" s="15" t="s">
        <v>27</v>
      </c>
      <c r="E60" s="15" t="s">
        <v>27</v>
      </c>
      <c r="F60" s="15" t="s">
        <v>27</v>
      </c>
      <c r="G60" s="15" t="s">
        <v>26</v>
      </c>
      <c r="H60" s="15" t="s">
        <v>26</v>
      </c>
      <c r="I60" s="15" t="s">
        <v>26</v>
      </c>
      <c r="J60" s="16" t="s">
        <v>26</v>
      </c>
    </row>
    <row r="61" spans="1:20" ht="15.75" thickBot="1" x14ac:dyDescent="0.3">
      <c r="B61" s="12" t="s">
        <v>10</v>
      </c>
      <c r="C61" s="17" t="s">
        <v>18</v>
      </c>
      <c r="D61" s="18" t="s">
        <v>19</v>
      </c>
      <c r="E61" s="18" t="s">
        <v>20</v>
      </c>
      <c r="F61" s="18" t="s">
        <v>21</v>
      </c>
      <c r="G61" s="18" t="s">
        <v>22</v>
      </c>
      <c r="H61" s="18" t="s">
        <v>23</v>
      </c>
      <c r="I61" s="18" t="s">
        <v>24</v>
      </c>
      <c r="J61" s="20" t="s">
        <v>25</v>
      </c>
      <c r="L61" s="26" t="s">
        <v>7</v>
      </c>
      <c r="M61" s="21" t="s">
        <v>18</v>
      </c>
      <c r="N61" s="18" t="s">
        <v>19</v>
      </c>
      <c r="O61" s="18" t="s">
        <v>20</v>
      </c>
      <c r="P61" s="61" t="s">
        <v>21</v>
      </c>
      <c r="Q61" s="18" t="s">
        <v>22</v>
      </c>
      <c r="R61" s="18" t="s">
        <v>23</v>
      </c>
      <c r="S61" s="18" t="s">
        <v>24</v>
      </c>
      <c r="T61" s="20" t="s">
        <v>25</v>
      </c>
    </row>
    <row r="62" spans="1:20" ht="15.75" thickBot="1" x14ac:dyDescent="0.3">
      <c r="B62" s="13" t="s">
        <v>13</v>
      </c>
      <c r="C62" s="28">
        <v>5.0196999999999999E-2</v>
      </c>
      <c r="D62" s="29">
        <v>7.9331000000000002E-3</v>
      </c>
      <c r="E62" s="29">
        <v>2.7234000000000001E-2</v>
      </c>
      <c r="F62" s="45">
        <v>5.1154999999999999E-2</v>
      </c>
      <c r="G62" s="30">
        <v>210.75</v>
      </c>
      <c r="H62" s="31">
        <v>121.66</v>
      </c>
      <c r="I62" s="31">
        <v>131.28</v>
      </c>
      <c r="J62" s="32">
        <v>133.69</v>
      </c>
      <c r="L62" s="22" t="str">
        <f>L51</f>
        <v>Zr + Vert</v>
      </c>
      <c r="M62" s="24">
        <f>C32</f>
        <v>4.0123999999999997E-4</v>
      </c>
      <c r="N62" s="24">
        <f t="shared" ref="N62:T62" si="14">D32</f>
        <v>7.4425000000000001E-4</v>
      </c>
      <c r="O62" s="24">
        <f t="shared" si="14"/>
        <v>2.9607000000000001E-3</v>
      </c>
      <c r="P62" s="62">
        <f t="shared" si="14"/>
        <v>2.9640000000000001E-3</v>
      </c>
      <c r="Q62" s="43">
        <f t="shared" si="14"/>
        <v>2.0164999999999999E-2</v>
      </c>
      <c r="R62" s="43">
        <f t="shared" si="14"/>
        <v>1.1128000000000001E-2</v>
      </c>
      <c r="S62" s="43">
        <f t="shared" si="14"/>
        <v>1.0118E-2</v>
      </c>
      <c r="T62" s="43">
        <f t="shared" si="14"/>
        <v>3.4228000000000001E-2</v>
      </c>
    </row>
    <row r="63" spans="1:20" ht="15.75" thickBot="1" x14ac:dyDescent="0.3">
      <c r="B63" s="13" t="s">
        <v>14</v>
      </c>
      <c r="C63" s="33">
        <v>1.9730999999999999E-2</v>
      </c>
      <c r="D63" s="34">
        <v>2.0856999999999998E-3</v>
      </c>
      <c r="E63" s="34">
        <v>5.6274000000000003E-3</v>
      </c>
      <c r="F63" s="46">
        <v>2.0080000000000001E-2</v>
      </c>
      <c r="G63" s="35">
        <v>21.59</v>
      </c>
      <c r="H63" s="36">
        <v>12.236000000000001</v>
      </c>
      <c r="I63" s="36">
        <v>16.433</v>
      </c>
      <c r="J63" s="37">
        <v>20.094000000000001</v>
      </c>
      <c r="L63" s="22" t="str">
        <f t="shared" ref="L63:L65" si="15">L52</f>
        <v>PEKK + Vert</v>
      </c>
      <c r="M63" s="24">
        <f>C43</f>
        <v>1.5269999999999999E-3</v>
      </c>
      <c r="N63" s="24">
        <f t="shared" ref="N63:T63" si="16">D43</f>
        <v>2.5071999999999998E-3</v>
      </c>
      <c r="O63" s="24">
        <f t="shared" si="16"/>
        <v>1.1986E-2</v>
      </c>
      <c r="P63" s="62">
        <f t="shared" si="16"/>
        <v>1.2083E-2</v>
      </c>
      <c r="Q63" s="43">
        <f t="shared" si="16"/>
        <v>0.10369</v>
      </c>
      <c r="R63" s="43">
        <f t="shared" si="16"/>
        <v>5.7235000000000001E-2</v>
      </c>
      <c r="S63" s="43">
        <f t="shared" si="16"/>
        <v>3.9327000000000001E-2</v>
      </c>
      <c r="T63" s="43">
        <f t="shared" si="16"/>
        <v>0.17885999999999999</v>
      </c>
    </row>
    <row r="64" spans="1:20" ht="26.25" thickBot="1" x14ac:dyDescent="0.3">
      <c r="B64" s="13" t="s">
        <v>15</v>
      </c>
      <c r="C64" s="33">
        <v>1.9609000000000001E-2</v>
      </c>
      <c r="D64" s="34">
        <v>2.0533999999999999E-3</v>
      </c>
      <c r="E64" s="34">
        <v>5.4684E-3</v>
      </c>
      <c r="F64" s="46">
        <v>1.9949000000000001E-2</v>
      </c>
      <c r="G64" s="35">
        <v>162.16</v>
      </c>
      <c r="H64" s="36">
        <v>90.200999999999993</v>
      </c>
      <c r="I64" s="36">
        <v>153.66999999999999</v>
      </c>
      <c r="J64" s="37">
        <v>224.57</v>
      </c>
      <c r="L64" s="22" t="str">
        <f t="shared" si="15"/>
        <v>Zr + Oblique</v>
      </c>
      <c r="M64" s="24">
        <f>C54</f>
        <v>8.9531999999999997E-3</v>
      </c>
      <c r="N64" s="24">
        <f t="shared" ref="N64:T64" si="17">D54</f>
        <v>1.2404E-3</v>
      </c>
      <c r="O64" s="24">
        <f t="shared" si="17"/>
        <v>8.8892999999999993E-3</v>
      </c>
      <c r="P64" s="62">
        <f t="shared" si="17"/>
        <v>1.2578000000000001E-2</v>
      </c>
      <c r="Q64" s="43">
        <f t="shared" si="17"/>
        <v>6.9690000000000002E-2</v>
      </c>
      <c r="R64" s="43">
        <f t="shared" si="17"/>
        <v>3.8523000000000002E-2</v>
      </c>
      <c r="S64" s="43">
        <f t="shared" si="17"/>
        <v>8.0643000000000006E-2</v>
      </c>
      <c r="T64" s="43">
        <f t="shared" si="17"/>
        <v>0.12010999999999999</v>
      </c>
    </row>
    <row r="65" spans="2:20" ht="15.75" thickBot="1" x14ac:dyDescent="0.3">
      <c r="B65" s="13" t="s">
        <v>7</v>
      </c>
      <c r="C65" s="33">
        <v>1.0893E-2</v>
      </c>
      <c r="D65" s="34">
        <v>3.9744000000000003E-3</v>
      </c>
      <c r="E65" s="34">
        <v>2.3889000000000001E-2</v>
      </c>
      <c r="F65" s="46">
        <v>2.5856000000000001E-2</v>
      </c>
      <c r="G65" s="35">
        <v>0.18956000000000001</v>
      </c>
      <c r="H65" s="36">
        <v>0.10413</v>
      </c>
      <c r="I65" s="36">
        <v>0.10058</v>
      </c>
      <c r="J65" s="37">
        <v>0.36889</v>
      </c>
      <c r="L65" s="23" t="str">
        <f t="shared" si="15"/>
        <v>PEKK + Oblique</v>
      </c>
      <c r="M65" s="25">
        <f>C65</f>
        <v>1.0893E-2</v>
      </c>
      <c r="N65" s="25">
        <f t="shared" ref="N65:T65" si="18">D65</f>
        <v>3.9744000000000003E-3</v>
      </c>
      <c r="O65" s="25">
        <f t="shared" si="18"/>
        <v>2.3889000000000001E-2</v>
      </c>
      <c r="P65" s="63">
        <f t="shared" si="18"/>
        <v>2.5856000000000001E-2</v>
      </c>
      <c r="Q65" s="44">
        <f t="shared" si="18"/>
        <v>0.18956000000000001</v>
      </c>
      <c r="R65" s="44">
        <f t="shared" si="18"/>
        <v>0.10413</v>
      </c>
      <c r="S65" s="44">
        <f t="shared" si="18"/>
        <v>0.10058</v>
      </c>
      <c r="T65" s="44">
        <f t="shared" si="18"/>
        <v>0.36889</v>
      </c>
    </row>
    <row r="66" spans="2:20" ht="15.75" thickBot="1" x14ac:dyDescent="0.3">
      <c r="B66" s="13" t="s">
        <v>8</v>
      </c>
      <c r="C66" s="33">
        <v>7.7219000000000003E-3</v>
      </c>
      <c r="D66" s="34">
        <v>1.4224000000000001E-3</v>
      </c>
      <c r="E66" s="34">
        <v>4.1282999999999997E-3</v>
      </c>
      <c r="F66" s="46">
        <v>8.4402999999999995E-3</v>
      </c>
      <c r="G66" s="35">
        <v>18.222999999999999</v>
      </c>
      <c r="H66" s="36">
        <v>9.5988000000000007</v>
      </c>
      <c r="I66" s="36">
        <v>22.684000000000001</v>
      </c>
      <c r="J66" s="37">
        <v>22.831</v>
      </c>
    </row>
    <row r="67" spans="2:20" ht="26.25" thickBot="1" x14ac:dyDescent="0.3">
      <c r="B67" s="13" t="s">
        <v>9</v>
      </c>
      <c r="C67" s="38">
        <v>6.5348000000000003E-3</v>
      </c>
      <c r="D67" s="39">
        <v>1.4270999999999999E-3</v>
      </c>
      <c r="E67" s="39">
        <v>4.1235999999999998E-3</v>
      </c>
      <c r="F67" s="47">
        <v>7.6147000000000003E-3</v>
      </c>
      <c r="G67" s="40">
        <v>3.3029000000000002</v>
      </c>
      <c r="H67" s="41">
        <v>1.9068000000000001</v>
      </c>
      <c r="I67" s="41">
        <v>2.3832</v>
      </c>
      <c r="J67" s="42">
        <v>2.2688000000000001</v>
      </c>
    </row>
    <row r="71" spans="2:20" ht="15.75" thickBot="1" x14ac:dyDescent="0.3"/>
    <row r="72" spans="2:20" ht="15.75" thickBot="1" x14ac:dyDescent="0.3">
      <c r="L72" s="26" t="s">
        <v>8</v>
      </c>
      <c r="M72" s="21" t="s">
        <v>18</v>
      </c>
      <c r="N72" s="18" t="s">
        <v>19</v>
      </c>
      <c r="O72" s="18" t="s">
        <v>20</v>
      </c>
      <c r="P72" s="61" t="s">
        <v>21</v>
      </c>
      <c r="Q72" s="18" t="s">
        <v>22</v>
      </c>
      <c r="R72" s="18" t="s">
        <v>23</v>
      </c>
      <c r="S72" s="18" t="s">
        <v>24</v>
      </c>
      <c r="T72" s="20" t="s">
        <v>25</v>
      </c>
    </row>
    <row r="73" spans="2:20" x14ac:dyDescent="0.25">
      <c r="L73" s="22" t="str">
        <f>L62</f>
        <v>Zr + Vert</v>
      </c>
      <c r="M73" s="24">
        <f>C33</f>
        <v>2.7528999999999997E-4</v>
      </c>
      <c r="N73" s="24">
        <f t="shared" ref="N73:T73" si="19">D33</f>
        <v>5.8288000000000003E-4</v>
      </c>
      <c r="O73" s="24">
        <f t="shared" si="19"/>
        <v>2.4572999999999999E-3</v>
      </c>
      <c r="P73" s="62">
        <f t="shared" si="19"/>
        <v>2.4941999999999998E-3</v>
      </c>
      <c r="Q73" s="43">
        <f t="shared" si="19"/>
        <v>3.8628999999999998</v>
      </c>
      <c r="R73" s="43">
        <f t="shared" si="19"/>
        <v>2.1625000000000001</v>
      </c>
      <c r="S73" s="43">
        <f t="shared" si="19"/>
        <v>4.6482000000000001</v>
      </c>
      <c r="T73" s="43">
        <f t="shared" si="19"/>
        <v>5.4928999999999997</v>
      </c>
    </row>
    <row r="74" spans="2:20" x14ac:dyDescent="0.25">
      <c r="L74" s="22" t="str">
        <f t="shared" ref="L74:L76" si="20">L63</f>
        <v>PEKK + Vert</v>
      </c>
      <c r="M74" s="24">
        <f>C44</f>
        <v>4.1856E-4</v>
      </c>
      <c r="N74" s="24">
        <f t="shared" ref="N74:T74" si="21">D44</f>
        <v>9.9222999999999998E-4</v>
      </c>
      <c r="O74" s="24">
        <f t="shared" si="21"/>
        <v>2.4477000000000001E-3</v>
      </c>
      <c r="P74" s="62">
        <f t="shared" si="21"/>
        <v>2.6131000000000001E-3</v>
      </c>
      <c r="Q74" s="43">
        <f t="shared" si="21"/>
        <v>4.9554</v>
      </c>
      <c r="R74" s="43">
        <f t="shared" si="21"/>
        <v>2.7082000000000002</v>
      </c>
      <c r="S74" s="43">
        <f t="shared" si="21"/>
        <v>5.5678000000000001</v>
      </c>
      <c r="T74" s="43">
        <f t="shared" si="21"/>
        <v>6.8113000000000001</v>
      </c>
    </row>
    <row r="75" spans="2:20" x14ac:dyDescent="0.25">
      <c r="L75" s="22" t="str">
        <f t="shared" si="20"/>
        <v>Zr + Oblique</v>
      </c>
      <c r="M75" s="24">
        <f>C55</f>
        <v>6.8868000000000002E-3</v>
      </c>
      <c r="N75" s="24">
        <f t="shared" ref="N75:T75" si="22">D55</f>
        <v>8.6583999999999999E-4</v>
      </c>
      <c r="O75" s="24">
        <f t="shared" si="22"/>
        <v>3.9914E-3</v>
      </c>
      <c r="P75" s="62">
        <f t="shared" si="22"/>
        <v>7.9105000000000009E-3</v>
      </c>
      <c r="Q75" s="43">
        <f t="shared" si="22"/>
        <v>14.26</v>
      </c>
      <c r="R75" s="43">
        <f t="shared" si="22"/>
        <v>7.6144999999999996</v>
      </c>
      <c r="S75" s="43">
        <f t="shared" si="22"/>
        <v>19.388999999999999</v>
      </c>
      <c r="T75" s="43">
        <f t="shared" si="22"/>
        <v>20.942</v>
      </c>
    </row>
    <row r="76" spans="2:20" ht="15.75" thickBot="1" x14ac:dyDescent="0.3">
      <c r="L76" s="23" t="str">
        <f t="shared" si="20"/>
        <v>PEKK + Oblique</v>
      </c>
      <c r="M76" s="25">
        <f>C66</f>
        <v>7.7219000000000003E-3</v>
      </c>
      <c r="N76" s="25">
        <f t="shared" ref="N76:T76" si="23">D66</f>
        <v>1.4224000000000001E-3</v>
      </c>
      <c r="O76" s="25">
        <f t="shared" si="23"/>
        <v>4.1282999999999997E-3</v>
      </c>
      <c r="P76" s="63">
        <f t="shared" si="23"/>
        <v>8.4402999999999995E-3</v>
      </c>
      <c r="Q76" s="44">
        <f t="shared" si="23"/>
        <v>18.222999999999999</v>
      </c>
      <c r="R76" s="44">
        <f t="shared" si="23"/>
        <v>9.5988000000000007</v>
      </c>
      <c r="S76" s="44">
        <f t="shared" si="23"/>
        <v>22.684000000000001</v>
      </c>
      <c r="T76" s="44">
        <f t="shared" si="23"/>
        <v>22.831</v>
      </c>
    </row>
    <row r="77" spans="2:20" x14ac:dyDescent="0.25">
      <c r="E77" s="57">
        <v>2.0164999999999999E-2</v>
      </c>
      <c r="F77" s="57">
        <v>0.10369</v>
      </c>
      <c r="G77" s="57">
        <v>6.9690000000000002E-2</v>
      </c>
      <c r="H77" s="57">
        <v>0.18956000000000001</v>
      </c>
    </row>
    <row r="81" spans="5:20" x14ac:dyDescent="0.25">
      <c r="E81" s="57">
        <v>3.8628999999999998</v>
      </c>
      <c r="F81" s="57">
        <v>4.9554</v>
      </c>
      <c r="G81" s="57">
        <v>14.26</v>
      </c>
      <c r="H81" s="57">
        <v>18.222999999999999</v>
      </c>
    </row>
    <row r="82" spans="5:20" ht="15.75" thickBot="1" x14ac:dyDescent="0.3"/>
    <row r="83" spans="5:20" ht="26.25" thickBot="1" x14ac:dyDescent="0.3">
      <c r="L83" s="26" t="s">
        <v>9</v>
      </c>
      <c r="M83" s="21" t="s">
        <v>18</v>
      </c>
      <c r="N83" s="18" t="s">
        <v>19</v>
      </c>
      <c r="O83" s="18" t="s">
        <v>20</v>
      </c>
      <c r="P83" s="61" t="s">
        <v>21</v>
      </c>
      <c r="Q83" s="18" t="s">
        <v>22</v>
      </c>
      <c r="R83" s="18" t="s">
        <v>23</v>
      </c>
      <c r="S83" s="18" t="s">
        <v>24</v>
      </c>
      <c r="T83" s="20" t="s">
        <v>25</v>
      </c>
    </row>
    <row r="84" spans="5:20" x14ac:dyDescent="0.25">
      <c r="L84" s="22" t="str">
        <f>L73</f>
        <v>Zr + Vert</v>
      </c>
      <c r="M84" s="24">
        <f>C34</f>
        <v>2.5340999999999997E-4</v>
      </c>
      <c r="N84" s="24">
        <f t="shared" ref="N84:T84" si="24">D34</f>
        <v>5.7339999999999995E-4</v>
      </c>
      <c r="O84" s="24">
        <f t="shared" si="24"/>
        <v>2.3896999999999998E-3</v>
      </c>
      <c r="P84" s="62">
        <f t="shared" si="24"/>
        <v>2.4234999999999999E-3</v>
      </c>
      <c r="Q84" s="43">
        <f t="shared" si="24"/>
        <v>1.9778</v>
      </c>
      <c r="R84" s="43">
        <f t="shared" si="24"/>
        <v>1.1408</v>
      </c>
      <c r="S84" s="43">
        <f t="shared" si="24"/>
        <v>1.7488999999999999</v>
      </c>
      <c r="T84" s="43">
        <f t="shared" si="24"/>
        <v>1.643</v>
      </c>
    </row>
    <row r="85" spans="5:20" x14ac:dyDescent="0.25">
      <c r="E85" s="57">
        <v>1.9778</v>
      </c>
      <c r="F85" s="57">
        <v>1.9340999999999999</v>
      </c>
      <c r="G85" s="57">
        <v>2.9178000000000002</v>
      </c>
      <c r="H85" s="57">
        <v>3.3029000000000002</v>
      </c>
      <c r="L85" s="22" t="str">
        <f t="shared" ref="L85:L87" si="25">L74</f>
        <v>PEKK + Vert</v>
      </c>
      <c r="M85" s="24">
        <f>C45</f>
        <v>3.4844999999999999E-4</v>
      </c>
      <c r="N85" s="24">
        <f t="shared" ref="N85:T85" si="26">D45</f>
        <v>9.9562000000000001E-4</v>
      </c>
      <c r="O85" s="24">
        <f t="shared" si="26"/>
        <v>2.3476999999999999E-3</v>
      </c>
      <c r="P85" s="62">
        <f t="shared" si="26"/>
        <v>2.5010000000000002E-3</v>
      </c>
      <c r="Q85" s="43">
        <f t="shared" si="26"/>
        <v>1.9340999999999999</v>
      </c>
      <c r="R85" s="43">
        <f t="shared" si="26"/>
        <v>1.1156999999999999</v>
      </c>
      <c r="S85" s="43">
        <f t="shared" si="26"/>
        <v>1.8918999999999999</v>
      </c>
      <c r="T85" s="43">
        <f t="shared" si="26"/>
        <v>1.5999000000000001</v>
      </c>
    </row>
    <row r="86" spans="5:20" x14ac:dyDescent="0.25">
      <c r="L86" s="22" t="str">
        <f t="shared" si="25"/>
        <v>Zr + Oblique</v>
      </c>
      <c r="M86" s="24">
        <f>C56</f>
        <v>6.0958999999999996E-3</v>
      </c>
      <c r="N86" s="24">
        <f t="shared" ref="N86:T86" si="27">D56</f>
        <v>8.6412000000000001E-4</v>
      </c>
      <c r="O86" s="24">
        <f t="shared" si="27"/>
        <v>3.9921000000000002E-3</v>
      </c>
      <c r="P86" s="62">
        <f t="shared" si="27"/>
        <v>7.2046999999999996E-3</v>
      </c>
      <c r="Q86" s="43">
        <f t="shared" si="27"/>
        <v>2.9178000000000002</v>
      </c>
      <c r="R86" s="43">
        <f t="shared" si="27"/>
        <v>1.6883999999999999</v>
      </c>
      <c r="S86" s="43">
        <f t="shared" si="27"/>
        <v>2.1149</v>
      </c>
      <c r="T86" s="43">
        <f t="shared" si="27"/>
        <v>2.097</v>
      </c>
    </row>
    <row r="87" spans="5:20" ht="15.75" thickBot="1" x14ac:dyDescent="0.3">
      <c r="L87" s="23" t="str">
        <f t="shared" si="25"/>
        <v>PEKK + Oblique</v>
      </c>
      <c r="M87" s="25">
        <f>C67</f>
        <v>6.5348000000000003E-3</v>
      </c>
      <c r="N87" s="25">
        <f t="shared" ref="N87:T87" si="28">D67</f>
        <v>1.4270999999999999E-3</v>
      </c>
      <c r="O87" s="25">
        <f t="shared" si="28"/>
        <v>4.1235999999999998E-3</v>
      </c>
      <c r="P87" s="63">
        <f t="shared" si="28"/>
        <v>7.6147000000000003E-3</v>
      </c>
      <c r="Q87" s="44">
        <f t="shared" si="28"/>
        <v>3.3029000000000002</v>
      </c>
      <c r="R87" s="44">
        <f t="shared" si="28"/>
        <v>1.9068000000000001</v>
      </c>
      <c r="S87" s="44">
        <f t="shared" si="28"/>
        <v>2.3832</v>
      </c>
      <c r="T87" s="44">
        <f t="shared" si="28"/>
        <v>2.2688000000000001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2"/>
  <sheetViews>
    <sheetView workbookViewId="0">
      <selection activeCell="A13" sqref="A13"/>
    </sheetView>
  </sheetViews>
  <sheetFormatPr defaultColWidth="37.85546875" defaultRowHeight="15" x14ac:dyDescent="0.25"/>
  <sheetData>
    <row r="1" spans="1:4" ht="16.5" thickTop="1" x14ac:dyDescent="0.25">
      <c r="A1" s="64" t="s">
        <v>36</v>
      </c>
      <c r="B1" s="48" t="s">
        <v>37</v>
      </c>
      <c r="C1" s="48" t="s">
        <v>39</v>
      </c>
      <c r="D1" s="64" t="s">
        <v>40</v>
      </c>
    </row>
    <row r="2" spans="1:4" ht="16.5" thickBot="1" x14ac:dyDescent="0.3">
      <c r="A2" s="65"/>
      <c r="B2" s="49" t="s">
        <v>38</v>
      </c>
      <c r="C2" s="49" t="s">
        <v>38</v>
      </c>
      <c r="D2" s="65"/>
    </row>
    <row r="3" spans="1:4" ht="16.5" thickTop="1" x14ac:dyDescent="0.25">
      <c r="A3" s="50" t="s">
        <v>41</v>
      </c>
      <c r="B3" s="53"/>
      <c r="C3" s="53"/>
      <c r="D3" s="53"/>
    </row>
    <row r="4" spans="1:4" ht="15.75" x14ac:dyDescent="0.25">
      <c r="A4" s="51" t="s">
        <v>42</v>
      </c>
      <c r="B4" s="53" t="s">
        <v>43</v>
      </c>
      <c r="C4" s="53" t="s">
        <v>44</v>
      </c>
      <c r="D4" s="53" t="s">
        <v>45</v>
      </c>
    </row>
    <row r="5" spans="1:4" ht="16.5" thickBot="1" x14ac:dyDescent="0.3">
      <c r="A5" s="52"/>
      <c r="B5" s="54"/>
      <c r="C5" s="55"/>
      <c r="D5" s="53" t="s">
        <v>46</v>
      </c>
    </row>
    <row r="6" spans="1:4" ht="16.5" thickBot="1" x14ac:dyDescent="0.3">
      <c r="A6" s="56" t="s">
        <v>47</v>
      </c>
      <c r="B6" s="54" t="s">
        <v>48</v>
      </c>
      <c r="C6" s="54" t="s">
        <v>49</v>
      </c>
      <c r="D6" s="55"/>
    </row>
    <row r="82" ht="30.75" customHeight="1" x14ac:dyDescent="0.25"/>
  </sheetData>
  <mergeCells count="2">
    <mergeCell ref="A1:A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elanwar</dc:creator>
  <cp:lastModifiedBy>doc ac</cp:lastModifiedBy>
  <dcterms:created xsi:type="dcterms:W3CDTF">2024-10-27T09:11:40Z</dcterms:created>
  <dcterms:modified xsi:type="dcterms:W3CDTF">2026-04-27T03:42:44Z</dcterms:modified>
</cp:coreProperties>
</file>